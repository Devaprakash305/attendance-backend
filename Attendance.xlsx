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attendance-web\backend\"/>
    </mc:Choice>
  </mc:AlternateContent>
  <xr:revisionPtr revIDLastSave="0" documentId="13_ncr:1_{B8F43938-06E7-4D8C-8C6D-2EB6DD3A4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definedNames>
    <definedName name="_xlnm._FilterDatabase" localSheetId="0" hidden="1">Attendance!$A$1:$BE$1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62" i="1" l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63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D44" i="1" s="1"/>
  <c r="BC45" i="1"/>
  <c r="BC46" i="1"/>
  <c r="BC47" i="1"/>
  <c r="BC48" i="1"/>
  <c r="BC49" i="1"/>
  <c r="BC50" i="1"/>
  <c r="BC51" i="1"/>
  <c r="BC52" i="1"/>
  <c r="BC64" i="1"/>
  <c r="BC53" i="1"/>
  <c r="BC54" i="1"/>
  <c r="BC55" i="1"/>
  <c r="BC56" i="1"/>
  <c r="BC57" i="1"/>
  <c r="BC58" i="1"/>
  <c r="BC59" i="1"/>
  <c r="BC60" i="1"/>
  <c r="BC61" i="1"/>
  <c r="BC65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D3" i="1" s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63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D7" i="1" s="1"/>
  <c r="BB52" i="1"/>
  <c r="BB64" i="1"/>
  <c r="BB53" i="1"/>
  <c r="BB54" i="1"/>
  <c r="BB55" i="1"/>
  <c r="BB56" i="1"/>
  <c r="D25" i="1" s="1"/>
  <c r="BB57" i="1"/>
  <c r="BB58" i="1"/>
  <c r="BB59" i="1"/>
  <c r="BB60" i="1"/>
  <c r="D48" i="1" s="1"/>
  <c r="BB61" i="1"/>
  <c r="BB65" i="1"/>
  <c r="BB62" i="1"/>
  <c r="BB2" i="1"/>
  <c r="C4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2" i="1"/>
  <c r="Z71" i="1"/>
  <c r="AA71" i="1"/>
  <c r="AB71" i="1"/>
  <c r="AC71" i="1"/>
  <c r="AD71" i="1"/>
  <c r="AE71" i="1"/>
  <c r="AF71" i="1"/>
  <c r="Z68" i="1"/>
  <c r="AA68" i="1"/>
  <c r="AB68" i="1"/>
  <c r="AC68" i="1"/>
  <c r="AD68" i="1"/>
  <c r="AE68" i="1"/>
  <c r="AF68" i="1"/>
  <c r="Z67" i="1"/>
  <c r="AA67" i="1"/>
  <c r="AB67" i="1"/>
  <c r="AC67" i="1"/>
  <c r="AD67" i="1"/>
  <c r="AE67" i="1"/>
  <c r="AF67" i="1"/>
  <c r="H67" i="1"/>
  <c r="F67" i="1"/>
  <c r="N67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F68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G67" i="1"/>
  <c r="I67" i="1"/>
  <c r="J67" i="1"/>
  <c r="K67" i="1"/>
  <c r="L67" i="1"/>
  <c r="M67" i="1"/>
  <c r="O67" i="1"/>
  <c r="P67" i="1"/>
  <c r="Q67" i="1"/>
  <c r="R67" i="1"/>
  <c r="S67" i="1"/>
  <c r="T67" i="1"/>
  <c r="U67" i="1"/>
  <c r="V67" i="1"/>
  <c r="W67" i="1"/>
  <c r="X67" i="1"/>
  <c r="Y67" i="1"/>
  <c r="F71" i="1"/>
  <c r="D53" i="1" l="1"/>
  <c r="D42" i="1"/>
  <c r="D15" i="1"/>
  <c r="D32" i="1"/>
  <c r="D17" i="1"/>
  <c r="D13" i="1"/>
  <c r="D52" i="1"/>
  <c r="D29" i="1"/>
  <c r="D5" i="1"/>
  <c r="D33" i="1"/>
  <c r="D14" i="1"/>
  <c r="D20" i="1"/>
  <c r="D8" i="1"/>
  <c r="D49" i="1"/>
  <c r="D22" i="1"/>
  <c r="D62" i="1"/>
  <c r="D60" i="1"/>
  <c r="D27" i="1"/>
  <c r="D61" i="1"/>
  <c r="D64" i="1"/>
  <c r="D10" i="1"/>
  <c r="D2" i="1"/>
  <c r="D37" i="1"/>
  <c r="D18" i="1"/>
  <c r="D47" i="1"/>
  <c r="D28" i="1"/>
  <c r="D57" i="1"/>
  <c r="D19" i="1"/>
  <c r="D40" i="1"/>
  <c r="D12" i="1"/>
  <c r="D55" i="1"/>
  <c r="D56" i="1"/>
  <c r="D30" i="1"/>
  <c r="D9" i="1"/>
  <c r="D59" i="1"/>
  <c r="D36" i="1"/>
  <c r="D21" i="1"/>
  <c r="D11" i="1"/>
  <c r="D38" i="1"/>
  <c r="D63" i="1"/>
  <c r="D41" i="1"/>
  <c r="D23" i="1"/>
  <c r="D16" i="1"/>
  <c r="D46" i="1"/>
  <c r="D26" i="1"/>
  <c r="D45" i="1"/>
  <c r="D6" i="1"/>
  <c r="D34" i="1"/>
  <c r="D4" i="1"/>
  <c r="D50" i="1"/>
  <c r="D39" i="1"/>
  <c r="D54" i="1"/>
  <c r="D35" i="1"/>
  <c r="D43" i="1"/>
  <c r="D24" i="1"/>
  <c r="D58" i="1"/>
  <c r="D31" i="1"/>
  <c r="D65" i="1"/>
  <c r="D51" i="1"/>
  <c r="AA70" i="1"/>
  <c r="H70" i="1"/>
  <c r="L70" i="1"/>
  <c r="Z70" i="1"/>
  <c r="AB70" i="1"/>
  <c r="M70" i="1"/>
  <c r="I70" i="1"/>
  <c r="AC70" i="1"/>
  <c r="Y70" i="1"/>
  <c r="Q70" i="1"/>
  <c r="K70" i="1"/>
  <c r="G70" i="1"/>
  <c r="J70" i="1"/>
  <c r="AD70" i="1"/>
  <c r="AE70" i="1"/>
  <c r="AF70" i="1"/>
  <c r="W70" i="1"/>
  <c r="S70" i="1"/>
  <c r="O70" i="1"/>
  <c r="V70" i="1"/>
  <c r="R70" i="1"/>
  <c r="U70" i="1"/>
  <c r="F70" i="1"/>
  <c r="X70" i="1"/>
  <c r="T70" i="1"/>
  <c r="P70" i="1"/>
  <c r="N70" i="1"/>
</calcChain>
</file>

<file path=xl/sharedStrings.xml><?xml version="1.0" encoding="utf-8"?>
<sst xmlns="http://schemas.openxmlformats.org/spreadsheetml/2006/main" count="1820" uniqueCount="92">
  <si>
    <t>NAME</t>
  </si>
  <si>
    <t>08-01-2026</t>
  </si>
  <si>
    <t>09-01-2026</t>
  </si>
  <si>
    <t>12-01-2026</t>
  </si>
  <si>
    <t>13-01-2026</t>
  </si>
  <si>
    <t>19-01-2026</t>
  </si>
  <si>
    <t>20-01-2026</t>
  </si>
  <si>
    <t>21-01-2026</t>
  </si>
  <si>
    <t>22-01-2026</t>
  </si>
  <si>
    <t>23-01-2026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</si>
  <si>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</si>
  <si>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</si>
  <si>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</si>
  <si>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</si>
  <si>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</si>
  <si>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</si>
  <si>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</si>
  <si>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</si>
  <si>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</si>
  <si>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AARTHI A</t>
  </si>
  <si>
    <t>P</t>
  </si>
  <si>
    <t>AKSHAYA R S</t>
  </si>
  <si>
    <t>AB</t>
  </si>
  <si>
    <t>AMIRTHA S</t>
  </si>
  <si>
    <t>ANEESHA P</t>
  </si>
  <si>
    <t>ARDHANARI L</t>
  </si>
  <si>
    <t>BALABHARATHI S</t>
  </si>
  <si>
    <t>BALAJI S R</t>
  </si>
  <si>
    <t>BARANIDHARAN S</t>
  </si>
  <si>
    <t>BHOOMIKA D</t>
  </si>
  <si>
    <t>BOOPATHI RAJA P</t>
  </si>
  <si>
    <t>CHANDRA KRISHNAN D</t>
  </si>
  <si>
    <t>CHANDRU E</t>
  </si>
  <si>
    <t>DEEPAK M</t>
  </si>
  <si>
    <t>DEEPANRAJ B</t>
  </si>
  <si>
    <t>DEVAPRAKASH S</t>
  </si>
  <si>
    <t>DEVIPRIYA D</t>
  </si>
  <si>
    <t>DEVISHIRINI S</t>
  </si>
  <si>
    <t>DHANUSH KUMAR S</t>
  </si>
  <si>
    <t>DHARANESH P</t>
  </si>
  <si>
    <t>DHARANIDHARAN M</t>
  </si>
  <si>
    <t>DHARSAN R</t>
  </si>
  <si>
    <t>DHARSHINI M</t>
  </si>
  <si>
    <t>DHARSHINI T</t>
  </si>
  <si>
    <t>DHARUN M</t>
  </si>
  <si>
    <t>DHESIKAA V</t>
  </si>
  <si>
    <t>DIVAKARAN S</t>
  </si>
  <si>
    <t>DURAIAAKASH S</t>
  </si>
  <si>
    <t>DURAIMURUGAN R</t>
  </si>
  <si>
    <t>FRANCISCA MARY A</t>
  </si>
  <si>
    <t>GANDHISELVAN P</t>
  </si>
  <si>
    <t>GEETHA ARUN PRIYA S B</t>
  </si>
  <si>
    <t>GEETHI PRIYANKA R K</t>
  </si>
  <si>
    <t>GOMATHI SANKAR V</t>
  </si>
  <si>
    <t>GOPIKA V</t>
  </si>
  <si>
    <t>GOWTHAM A</t>
  </si>
  <si>
    <t>HAREESH T</t>
  </si>
  <si>
    <t>HARINA SHRI S</t>
  </si>
  <si>
    <t>HARSHANTH V</t>
  </si>
  <si>
    <t>IMRANKHAN M</t>
  </si>
  <si>
    <t>INBARAGAVAN P</t>
  </si>
  <si>
    <t>JAGADEESAN K</t>
  </si>
  <si>
    <t>JEETHENDRABABU P</t>
  </si>
  <si>
    <t>JEEVAN S</t>
  </si>
  <si>
    <t>JOHN BRIGHTSON N</t>
  </si>
  <si>
    <t>KALKKI R</t>
  </si>
  <si>
    <t>KANNISHKA P</t>
  </si>
  <si>
    <t>KARTHIGA SREE SURESH</t>
  </si>
  <si>
    <t>KARTHIK A</t>
  </si>
  <si>
    <t>KAVIYA A</t>
  </si>
  <si>
    <t>KAVIYASRI R</t>
  </si>
  <si>
    <t>KEERTHIK T</t>
  </si>
  <si>
    <t>KEERTHIVARSHINI C</t>
  </si>
  <si>
    <t>KISHOR K</t>
  </si>
  <si>
    <t>LAKSHANA S</t>
  </si>
  <si>
    <t>LAKSHANIKA M K S</t>
  </si>
  <si>
    <t>LALITHKUMAR V</t>
  </si>
  <si>
    <t>LOGITH PRASATH R S</t>
  </si>
  <si>
    <t>MADHAN M</t>
  </si>
  <si>
    <t>MALARAVAN S</t>
  </si>
  <si>
    <t>ABISHEK K S</t>
  </si>
  <si>
    <t>FARHATHMANAS</t>
  </si>
  <si>
    <t>KEERTHI VARMA S</t>
  </si>
  <si>
    <t>MOHAMED SAALIM</t>
  </si>
  <si>
    <t>Total No. of PRESENT</t>
  </si>
  <si>
    <t>Total No. of ABSENT</t>
  </si>
  <si>
    <t>OD</t>
  </si>
  <si>
    <t>DHARSHANA R</t>
  </si>
  <si>
    <t>PRESENT</t>
  </si>
  <si>
    <t>ON DUTY</t>
  </si>
  <si>
    <t>ABSENT</t>
  </si>
  <si>
    <t>REG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</si>
</sst>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1"/>
  <sheetViews>
    <sheetView tabSelected="1" zoomScale="130" zoomScaleNormal="130" workbookViewId="0">
      <pane xSplit="2" ySplit="1" topLeftCell="AF2" activePane="bottomRight" state="frozen"/>
      <selection pane="topRight"/>
      <selection pane="bottomLeft"/>
      <selection pane="bottomRight" activeCell="AI12" sqref="AI12"/>
    </sheetView>
  </sheetViews>
  <sheetFormatPr defaultRowHeight="14.4" x14ac:dyDescent="0.3"/>
  <cols>
    <col min="1" max="1" width="12.109375" bestFit="1" customWidth="1"/>
    <col min="2" max="2" width="22.33203125" bestFit="1" customWidth="1"/>
    <col min="3" max="3" width="12.109375" bestFit="1" customWidth="1"/>
    <col min="4" max="4" width="8.88671875" bestFit="1" customWidth="1"/>
    <col min="5" max="40" width="10.5546875" bestFit="1" customWidth="1"/>
  </cols>
  <sheetData>
    <row r="1" spans="1:55" x14ac:dyDescent="0.3">
      <c r="A1" s="1" t="s">
        <v>91</v>
      </c>
      <c r="B1" s="1" t="s">
        <v>0</v>
      </c>
      <c r="C1" s="22" t="s">
        <v>90</v>
      </c>
      <c r="D1" s="22" t="s">
        <v>88</v>
      </c>
      <c r="E1" s="11">
        <v>46027</v>
      </c>
      <c r="F1" s="5">
        <v>46028</v>
      </c>
      <c r="G1" s="5">
        <v>46029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1">
        <v>46062</v>
      </c>
      <c r="AA1" s="11">
        <v>46063</v>
      </c>
      <c r="AB1" s="11">
        <v>46064</v>
      </c>
      <c r="AC1" s="11">
        <v>46065</v>
      </c>
      <c r="AD1" s="11">
        <v>46066</v>
      </c>
      <c r="AE1" s="11">
        <v>46069</v>
      </c>
      <c r="AF1" s="11">
        <v>46070</v>
      </c>
      <c r="AG1" s="5"/>
      <c r="AH1" s="5"/>
      <c r="AI1" s="5"/>
      <c r="AJ1" s="5"/>
      <c r="AK1" s="5"/>
      <c r="AL1" s="5"/>
      <c r="AM1" s="5"/>
      <c r="AN1" s="5"/>
      <c r="BB1" s="27" t="s">
        <v>88</v>
      </c>
      <c r="BC1" s="27" t="s">
        <v>86</v>
      </c>
    </row>
    <row r="2" spans="1:55" x14ac:dyDescent="0.3">
      <c r="A2">
        <v>1</v>
      </c>
      <c r="B2" s="20" t="s">
        <v>19</v>
      </c>
      <c r="C2" s="24">
        <f t="shared" ref="C2:C33" si="0">COUNTIF(F2:AN2,"AB")</f>
        <v>0</v>
      </c>
      <c r="D2" s="24">
        <f t="shared" ref="D2:D33" si="1">BB2+BC2</f>
        <v>27</v>
      </c>
      <c r="E2" s="24"/>
      <c r="F2" s="21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  <c r="R2" s="3" t="s">
        <v>20</v>
      </c>
      <c r="S2" s="3" t="s">
        <v>20</v>
      </c>
      <c r="T2" s="3" t="s">
        <v>20</v>
      </c>
      <c r="U2" s="3" t="s">
        <v>20</v>
      </c>
      <c r="V2" s="3" t="s">
        <v>20</v>
      </c>
      <c r="W2" s="3" t="s">
        <v>20</v>
      </c>
      <c r="X2" s="3" t="s">
        <v>20</v>
      </c>
      <c r="Y2" s="8" t="s">
        <v>20</v>
      </c>
      <c r="Z2" s="12" t="s">
        <v>20</v>
      </c>
      <c r="AA2" s="12" t="s">
        <v>20</v>
      </c>
      <c r="AB2" s="12" t="s">
        <v>20</v>
      </c>
      <c r="AC2" s="12" t="s">
        <v>20</v>
      </c>
      <c r="AD2" s="12" t="s">
        <v>20</v>
      </c>
      <c r="AE2" s="12" t="s">
        <v>20</v>
      </c>
      <c r="AF2" s="12" t="s">
        <v>20</v>
      </c>
      <c r="AG2" s="10"/>
      <c r="BB2" s="24">
        <f t="shared" ref="BB2:BB33" si="2">COUNTIF(F2:AN2,"P")</f>
        <v>27</v>
      </c>
      <c r="BC2" s="24">
        <f t="shared" ref="BC2:BC33" si="3">COUNTIF(G2:AO2,"OD")</f>
        <v>0</v>
      </c>
    </row>
    <row r="3" spans="1:55" x14ac:dyDescent="0.3">
      <c r="A3">
        <v>2</v>
      </c>
      <c r="B3" s="20" t="s">
        <v>21</v>
      </c>
      <c r="C3" s="24">
        <f t="shared" si="0"/>
        <v>4</v>
      </c>
      <c r="D3" s="24">
        <f t="shared" si="1"/>
        <v>23</v>
      </c>
      <c r="E3" s="24"/>
      <c r="F3" s="21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22</v>
      </c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  <c r="R3" s="3" t="s">
        <v>20</v>
      </c>
      <c r="S3" s="3" t="s">
        <v>20</v>
      </c>
      <c r="T3" s="3" t="s">
        <v>20</v>
      </c>
      <c r="U3" s="3" t="s">
        <v>22</v>
      </c>
      <c r="V3" s="3" t="s">
        <v>20</v>
      </c>
      <c r="W3" s="3" t="s">
        <v>20</v>
      </c>
      <c r="X3" s="3" t="s">
        <v>20</v>
      </c>
      <c r="Y3" s="8" t="s">
        <v>22</v>
      </c>
      <c r="Z3" s="12" t="s">
        <v>20</v>
      </c>
      <c r="AA3" s="12" t="s">
        <v>20</v>
      </c>
      <c r="AB3" s="12" t="s">
        <v>20</v>
      </c>
      <c r="AC3" s="12" t="s">
        <v>20</v>
      </c>
      <c r="AD3" s="12" t="s">
        <v>20</v>
      </c>
      <c r="AE3" s="12" t="s">
        <v>22</v>
      </c>
      <c r="AF3" s="12" t="s">
        <v>20</v>
      </c>
      <c r="BB3" s="24">
        <f t="shared" si="2"/>
        <v>23</v>
      </c>
      <c r="BC3" s="24">
        <f t="shared" si="3"/>
        <v>0</v>
      </c>
    </row>
    <row r="4" spans="1:55" x14ac:dyDescent="0.3">
      <c r="A4">
        <v>3</v>
      </c>
      <c r="B4" s="20" t="s">
        <v>23</v>
      </c>
      <c r="C4" s="24">
        <f t="shared" si="0"/>
        <v>4</v>
      </c>
      <c r="D4" s="24">
        <f t="shared" si="1"/>
        <v>23</v>
      </c>
      <c r="E4" s="24"/>
      <c r="F4" s="21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20</v>
      </c>
      <c r="V4" s="3" t="s">
        <v>20</v>
      </c>
      <c r="W4" s="3" t="s">
        <v>20</v>
      </c>
      <c r="X4" s="3" t="s">
        <v>20</v>
      </c>
      <c r="Y4" s="8" t="s">
        <v>20</v>
      </c>
      <c r="Z4" s="12" t="s">
        <v>20</v>
      </c>
      <c r="AA4" s="12" t="s">
        <v>20</v>
      </c>
      <c r="AB4" s="12" t="s">
        <v>20</v>
      </c>
      <c r="AC4" s="12" t="s">
        <v>20</v>
      </c>
      <c r="AD4" s="12" t="s">
        <v>20</v>
      </c>
      <c r="AE4" s="12" t="s">
        <v>20</v>
      </c>
      <c r="AF4" s="12" t="s">
        <v>20</v>
      </c>
      <c r="BB4" s="24">
        <f t="shared" si="2"/>
        <v>23</v>
      </c>
      <c r="BC4" s="24">
        <f t="shared" si="3"/>
        <v>0</v>
      </c>
    </row>
    <row r="5" spans="1:55" x14ac:dyDescent="0.3">
      <c r="A5">
        <v>4</v>
      </c>
      <c r="B5" s="20" t="s">
        <v>24</v>
      </c>
      <c r="C5" s="24">
        <f t="shared" si="0"/>
        <v>0</v>
      </c>
      <c r="D5" s="24">
        <f t="shared" si="1"/>
        <v>27</v>
      </c>
      <c r="E5" s="24"/>
      <c r="F5" s="21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  <c r="R5" s="3" t="s">
        <v>20</v>
      </c>
      <c r="S5" s="3" t="s">
        <v>20</v>
      </c>
      <c r="T5" s="3" t="s">
        <v>20</v>
      </c>
      <c r="U5" s="3" t="s">
        <v>20</v>
      </c>
      <c r="V5" s="3" t="s">
        <v>20</v>
      </c>
      <c r="W5" s="3" t="s">
        <v>20</v>
      </c>
      <c r="X5" s="3" t="s">
        <v>20</v>
      </c>
      <c r="Y5" s="8" t="s">
        <v>20</v>
      </c>
      <c r="Z5" s="12" t="s">
        <v>20</v>
      </c>
      <c r="AA5" s="12" t="s">
        <v>20</v>
      </c>
      <c r="AB5" s="12" t="s">
        <v>20</v>
      </c>
      <c r="AC5" s="12" t="s">
        <v>20</v>
      </c>
      <c r="AD5" s="12" t="s">
        <v>20</v>
      </c>
      <c r="AE5" s="12" t="s">
        <v>20</v>
      </c>
      <c r="AF5" s="12" t="s">
        <v>20</v>
      </c>
      <c r="BB5" s="24">
        <f t="shared" si="2"/>
        <v>27</v>
      </c>
      <c r="BC5" s="24">
        <f t="shared" si="3"/>
        <v>0</v>
      </c>
    </row>
    <row r="6" spans="1:55" x14ac:dyDescent="0.3">
      <c r="A6">
        <v>5</v>
      </c>
      <c r="B6" s="20" t="s">
        <v>25</v>
      </c>
      <c r="C6" s="24">
        <f t="shared" si="0"/>
        <v>3</v>
      </c>
      <c r="D6" s="24">
        <f t="shared" si="1"/>
        <v>24</v>
      </c>
      <c r="E6" s="24"/>
      <c r="F6" s="21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22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22</v>
      </c>
      <c r="Q6" s="3" t="s">
        <v>20</v>
      </c>
      <c r="R6" s="3" t="s">
        <v>20</v>
      </c>
      <c r="S6" s="3" t="s">
        <v>20</v>
      </c>
      <c r="T6" s="3" t="s">
        <v>20</v>
      </c>
      <c r="U6" s="3" t="s">
        <v>20</v>
      </c>
      <c r="V6" s="3" t="s">
        <v>20</v>
      </c>
      <c r="W6" s="3" t="s">
        <v>20</v>
      </c>
      <c r="X6" s="3" t="s">
        <v>20</v>
      </c>
      <c r="Y6" s="8" t="s">
        <v>20</v>
      </c>
      <c r="Z6" s="12" t="s">
        <v>20</v>
      </c>
      <c r="AA6" s="12" t="s">
        <v>20</v>
      </c>
      <c r="AB6" s="12" t="s">
        <v>20</v>
      </c>
      <c r="AC6" s="12" t="s">
        <v>20</v>
      </c>
      <c r="AD6" s="12" t="s">
        <v>20</v>
      </c>
      <c r="AE6" s="12" t="s">
        <v>22</v>
      </c>
      <c r="AF6" s="12" t="s">
        <v>20</v>
      </c>
      <c r="BB6" s="24">
        <f t="shared" si="2"/>
        <v>24</v>
      </c>
      <c r="BC6" s="24">
        <f t="shared" si="3"/>
        <v>0</v>
      </c>
    </row>
    <row r="7" spans="1:55" x14ac:dyDescent="0.3">
      <c r="A7">
        <v>6</v>
      </c>
      <c r="B7" s="20" t="s">
        <v>26</v>
      </c>
      <c r="C7" s="24">
        <f t="shared" si="0"/>
        <v>0</v>
      </c>
      <c r="D7" s="24">
        <f t="shared" si="1"/>
        <v>27</v>
      </c>
      <c r="E7" s="24"/>
      <c r="F7" s="21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  <c r="S7" s="3" t="s">
        <v>20</v>
      </c>
      <c r="T7" s="3" t="s">
        <v>20</v>
      </c>
      <c r="U7" s="3" t="s">
        <v>20</v>
      </c>
      <c r="V7" s="3" t="s">
        <v>20</v>
      </c>
      <c r="W7" s="3" t="s">
        <v>20</v>
      </c>
      <c r="X7" s="3" t="s">
        <v>20</v>
      </c>
      <c r="Y7" s="8" t="s">
        <v>20</v>
      </c>
      <c r="Z7" s="12" t="s">
        <v>20</v>
      </c>
      <c r="AA7" s="12" t="s">
        <v>20</v>
      </c>
      <c r="AB7" s="12" t="s">
        <v>20</v>
      </c>
      <c r="AC7" s="12" t="s">
        <v>20</v>
      </c>
      <c r="AD7" s="12" t="s">
        <v>20</v>
      </c>
      <c r="AE7" s="12" t="s">
        <v>20</v>
      </c>
      <c r="AF7" s="12" t="s">
        <v>20</v>
      </c>
      <c r="BB7" s="24">
        <f t="shared" si="2"/>
        <v>27</v>
      </c>
      <c r="BC7" s="24">
        <f t="shared" si="3"/>
        <v>0</v>
      </c>
    </row>
    <row r="8" spans="1:55" x14ac:dyDescent="0.3">
      <c r="A8">
        <v>7</v>
      </c>
      <c r="B8" s="20" t="s">
        <v>27</v>
      </c>
      <c r="C8" s="24">
        <f t="shared" si="0"/>
        <v>1</v>
      </c>
      <c r="D8" s="24">
        <f t="shared" si="1"/>
        <v>26</v>
      </c>
      <c r="E8" s="24"/>
      <c r="F8" s="21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 t="s">
        <v>20</v>
      </c>
      <c r="S8" s="3" t="s">
        <v>20</v>
      </c>
      <c r="T8" s="3" t="s">
        <v>22</v>
      </c>
      <c r="U8" s="3" t="s">
        <v>20</v>
      </c>
      <c r="V8" s="3" t="s">
        <v>20</v>
      </c>
      <c r="W8" s="3" t="s">
        <v>20</v>
      </c>
      <c r="X8" s="3" t="s">
        <v>20</v>
      </c>
      <c r="Y8" s="8" t="s">
        <v>20</v>
      </c>
      <c r="Z8" s="12" t="s">
        <v>20</v>
      </c>
      <c r="AA8" s="12" t="s">
        <v>20</v>
      </c>
      <c r="AB8" s="12" t="s">
        <v>20</v>
      </c>
      <c r="AC8" s="12" t="s">
        <v>20</v>
      </c>
      <c r="AD8" s="12" t="s">
        <v>20</v>
      </c>
      <c r="AE8" s="12" t="s">
        <v>20</v>
      </c>
      <c r="AF8" s="12" t="s">
        <v>20</v>
      </c>
      <c r="BB8" s="24">
        <f t="shared" si="2"/>
        <v>26</v>
      </c>
      <c r="BC8" s="24">
        <f t="shared" si="3"/>
        <v>0</v>
      </c>
    </row>
    <row r="9" spans="1:55" x14ac:dyDescent="0.3">
      <c r="A9">
        <v>8</v>
      </c>
      <c r="B9" s="20" t="s">
        <v>28</v>
      </c>
      <c r="C9" s="24">
        <f t="shared" si="0"/>
        <v>0</v>
      </c>
      <c r="D9" s="24">
        <f t="shared" si="1"/>
        <v>27</v>
      </c>
      <c r="E9" s="24"/>
      <c r="F9" s="21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3" t="s">
        <v>20</v>
      </c>
      <c r="R9" s="3" t="s">
        <v>20</v>
      </c>
      <c r="S9" s="3" t="s">
        <v>20</v>
      </c>
      <c r="T9" s="3" t="s">
        <v>20</v>
      </c>
      <c r="U9" s="3" t="s">
        <v>20</v>
      </c>
      <c r="V9" s="3" t="s">
        <v>20</v>
      </c>
      <c r="W9" s="3" t="s">
        <v>20</v>
      </c>
      <c r="X9" s="3" t="s">
        <v>20</v>
      </c>
      <c r="Y9" s="8" t="s">
        <v>20</v>
      </c>
      <c r="Z9" s="12" t="s">
        <v>20</v>
      </c>
      <c r="AA9" s="12" t="s">
        <v>20</v>
      </c>
      <c r="AB9" s="12" t="s">
        <v>20</v>
      </c>
      <c r="AC9" s="12" t="s">
        <v>20</v>
      </c>
      <c r="AD9" s="12" t="s">
        <v>20</v>
      </c>
      <c r="AE9" s="12" t="s">
        <v>20</v>
      </c>
      <c r="AF9" s="12" t="s">
        <v>20</v>
      </c>
      <c r="BB9" s="24">
        <f t="shared" si="2"/>
        <v>27</v>
      </c>
      <c r="BC9" s="24">
        <f t="shared" si="3"/>
        <v>0</v>
      </c>
    </row>
    <row r="10" spans="1:55" x14ac:dyDescent="0.3">
      <c r="A10">
        <v>9</v>
      </c>
      <c r="B10" s="20" t="s">
        <v>29</v>
      </c>
      <c r="C10" s="24">
        <f t="shared" si="0"/>
        <v>0</v>
      </c>
      <c r="D10" s="24">
        <f t="shared" si="1"/>
        <v>26</v>
      </c>
      <c r="E10" s="24"/>
      <c r="F10" s="21" t="s">
        <v>86</v>
      </c>
      <c r="G10" s="6" t="s">
        <v>86</v>
      </c>
      <c r="H10" s="6" t="s">
        <v>86</v>
      </c>
      <c r="I10" s="6" t="s">
        <v>86</v>
      </c>
      <c r="J10" s="6" t="s">
        <v>86</v>
      </c>
      <c r="K10" s="6" t="s">
        <v>86</v>
      </c>
      <c r="L10" s="6" t="s">
        <v>86</v>
      </c>
      <c r="M10" s="6" t="s">
        <v>86</v>
      </c>
      <c r="N10" s="6" t="s">
        <v>86</v>
      </c>
      <c r="O10" s="6" t="s">
        <v>86</v>
      </c>
      <c r="P10" s="6" t="s">
        <v>86</v>
      </c>
      <c r="Q10" s="6" t="s">
        <v>86</v>
      </c>
      <c r="R10" s="6" t="s">
        <v>86</v>
      </c>
      <c r="S10" s="6" t="s">
        <v>86</v>
      </c>
      <c r="T10" s="6" t="s">
        <v>86</v>
      </c>
      <c r="U10" s="6" t="s">
        <v>86</v>
      </c>
      <c r="V10" s="6" t="s">
        <v>86</v>
      </c>
      <c r="W10" s="6" t="s">
        <v>86</v>
      </c>
      <c r="X10" s="6" t="s">
        <v>86</v>
      </c>
      <c r="Y10" s="6" t="s">
        <v>86</v>
      </c>
      <c r="Z10" s="6" t="s">
        <v>86</v>
      </c>
      <c r="AA10" s="6" t="s">
        <v>86</v>
      </c>
      <c r="AB10" s="6" t="s">
        <v>86</v>
      </c>
      <c r="AC10" s="6" t="s">
        <v>86</v>
      </c>
      <c r="AD10" s="6" t="s">
        <v>86</v>
      </c>
      <c r="AE10" s="6" t="s">
        <v>86</v>
      </c>
      <c r="AF10" s="6" t="s">
        <v>86</v>
      </c>
      <c r="BB10" s="24">
        <f t="shared" si="2"/>
        <v>0</v>
      </c>
      <c r="BC10" s="24">
        <f t="shared" si="3"/>
        <v>26</v>
      </c>
    </row>
    <row r="11" spans="1:55" x14ac:dyDescent="0.3">
      <c r="A11">
        <v>10</v>
      </c>
      <c r="B11" s="20" t="s">
        <v>30</v>
      </c>
      <c r="C11" s="24">
        <f t="shared" si="0"/>
        <v>0</v>
      </c>
      <c r="D11" s="24">
        <f t="shared" si="1"/>
        <v>27</v>
      </c>
      <c r="E11" s="24"/>
      <c r="F11" s="21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8" t="s">
        <v>20</v>
      </c>
      <c r="Z11" s="12" t="s">
        <v>20</v>
      </c>
      <c r="AA11" s="12" t="s">
        <v>20</v>
      </c>
      <c r="AB11" s="12" t="s">
        <v>20</v>
      </c>
      <c r="AC11" s="12" t="s">
        <v>20</v>
      </c>
      <c r="AD11" s="12" t="s">
        <v>20</v>
      </c>
      <c r="AE11" s="12" t="s">
        <v>20</v>
      </c>
      <c r="AF11" s="12" t="s">
        <v>20</v>
      </c>
      <c r="BB11" s="24">
        <f t="shared" si="2"/>
        <v>27</v>
      </c>
      <c r="BC11" s="24">
        <f t="shared" si="3"/>
        <v>0</v>
      </c>
    </row>
    <row r="12" spans="1:55" x14ac:dyDescent="0.3">
      <c r="A12">
        <v>11</v>
      </c>
      <c r="B12" s="20" t="s">
        <v>31</v>
      </c>
      <c r="C12" s="24">
        <f t="shared" si="0"/>
        <v>4</v>
      </c>
      <c r="D12" s="24">
        <f t="shared" si="1"/>
        <v>23</v>
      </c>
      <c r="E12" s="24"/>
      <c r="F12" s="21" t="s">
        <v>20</v>
      </c>
      <c r="G12" s="3" t="s">
        <v>22</v>
      </c>
      <c r="H12" s="3" t="s">
        <v>86</v>
      </c>
      <c r="I12" s="3" t="s">
        <v>20</v>
      </c>
      <c r="J12" s="3" t="s">
        <v>20</v>
      </c>
      <c r="K12" s="3" t="s">
        <v>22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  <c r="T12" s="3" t="s">
        <v>20</v>
      </c>
      <c r="U12" s="3" t="s">
        <v>20</v>
      </c>
      <c r="V12" s="3" t="s">
        <v>20</v>
      </c>
      <c r="W12" s="3" t="s">
        <v>22</v>
      </c>
      <c r="X12" s="3" t="s">
        <v>20</v>
      </c>
      <c r="Y12" s="8" t="s">
        <v>20</v>
      </c>
      <c r="Z12" s="12" t="s">
        <v>20</v>
      </c>
      <c r="AA12" s="12" t="s">
        <v>20</v>
      </c>
      <c r="AB12" s="12" t="s">
        <v>20</v>
      </c>
      <c r="AC12" s="12" t="s">
        <v>20</v>
      </c>
      <c r="AD12" s="12" t="s">
        <v>20</v>
      </c>
      <c r="AE12" s="12" t="s">
        <v>20</v>
      </c>
      <c r="AF12" s="12" t="s">
        <v>22</v>
      </c>
      <c r="BB12" s="24">
        <f t="shared" si="2"/>
        <v>22</v>
      </c>
      <c r="BC12" s="24">
        <f t="shared" si="3"/>
        <v>1</v>
      </c>
    </row>
    <row r="13" spans="1:55" x14ac:dyDescent="0.3">
      <c r="A13">
        <v>12</v>
      </c>
      <c r="B13" s="20" t="s">
        <v>32</v>
      </c>
      <c r="C13" s="24">
        <f t="shared" si="0"/>
        <v>0</v>
      </c>
      <c r="D13" s="24">
        <f t="shared" si="1"/>
        <v>27</v>
      </c>
      <c r="E13" s="24"/>
      <c r="F13" s="21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  <c r="S13" s="3" t="s">
        <v>20</v>
      </c>
      <c r="T13" s="3" t="s">
        <v>20</v>
      </c>
      <c r="U13" s="3" t="s">
        <v>20</v>
      </c>
      <c r="V13" s="3" t="s">
        <v>20</v>
      </c>
      <c r="W13" s="3" t="s">
        <v>20</v>
      </c>
      <c r="X13" s="3" t="s">
        <v>20</v>
      </c>
      <c r="Y13" s="8" t="s">
        <v>20</v>
      </c>
      <c r="Z13" s="12" t="s">
        <v>20</v>
      </c>
      <c r="AA13" s="12" t="s">
        <v>20</v>
      </c>
      <c r="AB13" s="12" t="s">
        <v>20</v>
      </c>
      <c r="AC13" s="12" t="s">
        <v>20</v>
      </c>
      <c r="AD13" s="12" t="s">
        <v>20</v>
      </c>
      <c r="AE13" s="12" t="s">
        <v>20</v>
      </c>
      <c r="AF13" s="12" t="s">
        <v>20</v>
      </c>
      <c r="BB13" s="24">
        <f t="shared" si="2"/>
        <v>27</v>
      </c>
      <c r="BC13" s="24">
        <f t="shared" si="3"/>
        <v>0</v>
      </c>
    </row>
    <row r="14" spans="1:55" x14ac:dyDescent="0.3">
      <c r="A14">
        <v>13</v>
      </c>
      <c r="B14" s="20" t="s">
        <v>33</v>
      </c>
      <c r="C14" s="24">
        <f t="shared" si="0"/>
        <v>1</v>
      </c>
      <c r="D14" s="24">
        <f t="shared" si="1"/>
        <v>26</v>
      </c>
      <c r="E14" s="24"/>
      <c r="F14" s="21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22</v>
      </c>
      <c r="Q14" s="3" t="s">
        <v>20</v>
      </c>
      <c r="R14" s="3" t="s">
        <v>20</v>
      </c>
      <c r="S14" s="3" t="s">
        <v>20</v>
      </c>
      <c r="T14" s="3" t="s">
        <v>20</v>
      </c>
      <c r="U14" s="3" t="s">
        <v>20</v>
      </c>
      <c r="V14" s="3" t="s">
        <v>20</v>
      </c>
      <c r="W14" s="3" t="s">
        <v>20</v>
      </c>
      <c r="X14" s="3" t="s">
        <v>20</v>
      </c>
      <c r="Y14" s="8" t="s">
        <v>20</v>
      </c>
      <c r="Z14" s="12" t="s">
        <v>20</v>
      </c>
      <c r="AA14" s="12" t="s">
        <v>20</v>
      </c>
      <c r="AB14" s="12" t="s">
        <v>20</v>
      </c>
      <c r="AC14" s="12" t="s">
        <v>20</v>
      </c>
      <c r="AD14" s="12" t="s">
        <v>20</v>
      </c>
      <c r="AE14" s="12" t="s">
        <v>20</v>
      </c>
      <c r="AF14" s="12" t="s">
        <v>86</v>
      </c>
      <c r="BB14" s="24">
        <f t="shared" si="2"/>
        <v>25</v>
      </c>
      <c r="BC14" s="24">
        <f t="shared" si="3"/>
        <v>1</v>
      </c>
    </row>
    <row r="15" spans="1:55" x14ac:dyDescent="0.3">
      <c r="A15">
        <v>14</v>
      </c>
      <c r="B15" s="20" t="s">
        <v>34</v>
      </c>
      <c r="C15" s="24">
        <f t="shared" si="0"/>
        <v>5</v>
      </c>
      <c r="D15" s="24">
        <f t="shared" si="1"/>
        <v>22</v>
      </c>
      <c r="E15" s="24"/>
      <c r="F15" s="21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22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22</v>
      </c>
      <c r="Q15" s="3" t="s">
        <v>20</v>
      </c>
      <c r="R15" s="3" t="s">
        <v>22</v>
      </c>
      <c r="S15" s="3" t="s">
        <v>20</v>
      </c>
      <c r="T15" s="3" t="s">
        <v>20</v>
      </c>
      <c r="U15" s="3" t="s">
        <v>20</v>
      </c>
      <c r="V15" s="3" t="s">
        <v>20</v>
      </c>
      <c r="W15" s="3" t="s">
        <v>22</v>
      </c>
      <c r="X15" s="3" t="s">
        <v>20</v>
      </c>
      <c r="Y15" s="8" t="s">
        <v>20</v>
      </c>
      <c r="Z15" s="12" t="s">
        <v>20</v>
      </c>
      <c r="AA15" s="12" t="s">
        <v>20</v>
      </c>
      <c r="AB15" s="12" t="s">
        <v>20</v>
      </c>
      <c r="AC15" s="12" t="s">
        <v>20</v>
      </c>
      <c r="AD15" s="12" t="s">
        <v>22</v>
      </c>
      <c r="AE15" s="12" t="s">
        <v>20</v>
      </c>
      <c r="AF15" s="12" t="s">
        <v>20</v>
      </c>
      <c r="BB15" s="24">
        <f t="shared" si="2"/>
        <v>22</v>
      </c>
      <c r="BC15" s="24">
        <f t="shared" si="3"/>
        <v>0</v>
      </c>
    </row>
    <row r="16" spans="1:55" x14ac:dyDescent="0.3">
      <c r="A16">
        <v>15</v>
      </c>
      <c r="B16" s="20" t="s">
        <v>35</v>
      </c>
      <c r="C16" s="24">
        <f t="shared" si="0"/>
        <v>1</v>
      </c>
      <c r="D16" s="24">
        <f t="shared" si="1"/>
        <v>26</v>
      </c>
      <c r="E16" s="24"/>
      <c r="F16" s="21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R16" s="3" t="s">
        <v>20</v>
      </c>
      <c r="S16" s="3" t="s">
        <v>20</v>
      </c>
      <c r="T16" s="3" t="s">
        <v>20</v>
      </c>
      <c r="U16" s="3" t="s">
        <v>20</v>
      </c>
      <c r="V16" s="3" t="s">
        <v>20</v>
      </c>
      <c r="W16" s="3" t="s">
        <v>20</v>
      </c>
      <c r="X16" s="3" t="s">
        <v>20</v>
      </c>
      <c r="Y16" s="8" t="s">
        <v>20</v>
      </c>
      <c r="Z16" s="12" t="s">
        <v>20</v>
      </c>
      <c r="AA16" s="12" t="s">
        <v>20</v>
      </c>
      <c r="AB16" s="12" t="s">
        <v>20</v>
      </c>
      <c r="AC16" s="12" t="s">
        <v>20</v>
      </c>
      <c r="AD16" s="12" t="s">
        <v>20</v>
      </c>
      <c r="AE16" s="12" t="s">
        <v>20</v>
      </c>
      <c r="AF16" s="12" t="s">
        <v>22</v>
      </c>
      <c r="BB16" s="24">
        <f t="shared" si="2"/>
        <v>26</v>
      </c>
      <c r="BC16" s="24">
        <f t="shared" si="3"/>
        <v>0</v>
      </c>
    </row>
    <row r="17" spans="1:55" x14ac:dyDescent="0.3">
      <c r="A17">
        <v>16</v>
      </c>
      <c r="B17" s="20" t="s">
        <v>36</v>
      </c>
      <c r="C17" s="24">
        <f t="shared" si="0"/>
        <v>2</v>
      </c>
      <c r="D17" s="24">
        <f t="shared" si="1"/>
        <v>25</v>
      </c>
      <c r="E17" s="24"/>
      <c r="F17" s="21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22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  <c r="S17" s="3" t="s">
        <v>20</v>
      </c>
      <c r="T17" s="3" t="s">
        <v>20</v>
      </c>
      <c r="U17" s="3" t="s">
        <v>20</v>
      </c>
      <c r="V17" s="3" t="s">
        <v>20</v>
      </c>
      <c r="W17" s="3" t="s">
        <v>20</v>
      </c>
      <c r="X17" s="3" t="s">
        <v>20</v>
      </c>
      <c r="Y17" s="8" t="s">
        <v>20</v>
      </c>
      <c r="Z17" s="12" t="s">
        <v>20</v>
      </c>
      <c r="AA17" s="12" t="s">
        <v>20</v>
      </c>
      <c r="AB17" s="12" t="s">
        <v>20</v>
      </c>
      <c r="AC17" s="12" t="s">
        <v>20</v>
      </c>
      <c r="AD17" s="12" t="s">
        <v>20</v>
      </c>
      <c r="AE17" s="12" t="s">
        <v>22</v>
      </c>
      <c r="AF17" s="12" t="s">
        <v>20</v>
      </c>
      <c r="BB17" s="24">
        <f t="shared" si="2"/>
        <v>25</v>
      </c>
      <c r="BC17" s="24">
        <f t="shared" si="3"/>
        <v>0</v>
      </c>
    </row>
    <row r="18" spans="1:55" x14ac:dyDescent="0.3">
      <c r="A18">
        <v>17</v>
      </c>
      <c r="B18" s="20" t="s">
        <v>37</v>
      </c>
      <c r="C18" s="24">
        <f t="shared" si="0"/>
        <v>1</v>
      </c>
      <c r="D18" s="24">
        <f t="shared" si="1"/>
        <v>26</v>
      </c>
      <c r="E18" s="24"/>
      <c r="F18" s="21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  <c r="Q18" s="3" t="s">
        <v>20</v>
      </c>
      <c r="R18" s="3" t="s">
        <v>22</v>
      </c>
      <c r="S18" s="3" t="s">
        <v>20</v>
      </c>
      <c r="T18" s="3" t="s">
        <v>20</v>
      </c>
      <c r="U18" s="3" t="s">
        <v>20</v>
      </c>
      <c r="V18" s="3" t="s">
        <v>20</v>
      </c>
      <c r="W18" s="3" t="s">
        <v>20</v>
      </c>
      <c r="X18" s="3" t="s">
        <v>20</v>
      </c>
      <c r="Y18" s="8" t="s">
        <v>20</v>
      </c>
      <c r="Z18" s="12" t="s">
        <v>20</v>
      </c>
      <c r="AA18" s="12" t="s">
        <v>20</v>
      </c>
      <c r="AB18" s="12" t="s">
        <v>20</v>
      </c>
      <c r="AC18" s="12" t="s">
        <v>20</v>
      </c>
      <c r="AD18" s="12" t="s">
        <v>20</v>
      </c>
      <c r="AE18" s="12" t="s">
        <v>20</v>
      </c>
      <c r="AF18" s="12" t="s">
        <v>20</v>
      </c>
      <c r="BB18" s="24">
        <f t="shared" si="2"/>
        <v>26</v>
      </c>
      <c r="BC18" s="24">
        <f t="shared" si="3"/>
        <v>0</v>
      </c>
    </row>
    <row r="19" spans="1:55" x14ac:dyDescent="0.3">
      <c r="A19">
        <v>18</v>
      </c>
      <c r="B19" s="20" t="s">
        <v>38</v>
      </c>
      <c r="C19" s="24">
        <f t="shared" si="0"/>
        <v>3</v>
      </c>
      <c r="D19" s="24">
        <f t="shared" si="1"/>
        <v>24</v>
      </c>
      <c r="E19" s="24"/>
      <c r="F19" s="21" t="s">
        <v>20</v>
      </c>
      <c r="G19" s="3" t="s">
        <v>20</v>
      </c>
      <c r="H19" s="3" t="s">
        <v>20</v>
      </c>
      <c r="I19" s="3" t="s">
        <v>20</v>
      </c>
      <c r="J19" s="3" t="s">
        <v>22</v>
      </c>
      <c r="K19" s="3" t="s">
        <v>22</v>
      </c>
      <c r="L19" s="3" t="s">
        <v>20</v>
      </c>
      <c r="M19" s="3" t="s">
        <v>20</v>
      </c>
      <c r="N19" s="3" t="s">
        <v>20</v>
      </c>
      <c r="O19" s="3" t="s">
        <v>20</v>
      </c>
      <c r="P19" s="3" t="s">
        <v>20</v>
      </c>
      <c r="Q19" s="3" t="s">
        <v>20</v>
      </c>
      <c r="R19" s="3" t="s">
        <v>20</v>
      </c>
      <c r="S19" s="3" t="s">
        <v>20</v>
      </c>
      <c r="T19" s="3" t="s">
        <v>20</v>
      </c>
      <c r="U19" s="3" t="s">
        <v>20</v>
      </c>
      <c r="V19" s="3" t="s">
        <v>22</v>
      </c>
      <c r="W19" s="3" t="s">
        <v>20</v>
      </c>
      <c r="X19" s="3" t="s">
        <v>20</v>
      </c>
      <c r="Y19" s="8" t="s">
        <v>20</v>
      </c>
      <c r="Z19" s="12" t="s">
        <v>20</v>
      </c>
      <c r="AA19" s="12" t="s">
        <v>20</v>
      </c>
      <c r="AB19" s="12" t="s">
        <v>20</v>
      </c>
      <c r="AC19" s="12" t="s">
        <v>20</v>
      </c>
      <c r="AD19" s="12" t="s">
        <v>20</v>
      </c>
      <c r="AE19" s="12" t="s">
        <v>20</v>
      </c>
      <c r="AF19" s="12" t="s">
        <v>20</v>
      </c>
      <c r="BB19" s="24">
        <f t="shared" si="2"/>
        <v>24</v>
      </c>
      <c r="BC19" s="24">
        <f t="shared" si="3"/>
        <v>0</v>
      </c>
    </row>
    <row r="20" spans="1:55" x14ac:dyDescent="0.3">
      <c r="A20">
        <v>19</v>
      </c>
      <c r="B20" s="20" t="s">
        <v>39</v>
      </c>
      <c r="C20" s="24">
        <f t="shared" si="0"/>
        <v>4</v>
      </c>
      <c r="D20" s="24">
        <f t="shared" si="1"/>
        <v>23</v>
      </c>
      <c r="E20" s="24"/>
      <c r="F20" s="21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22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  <c r="S20" s="3" t="s">
        <v>22</v>
      </c>
      <c r="T20" s="3" t="s">
        <v>20</v>
      </c>
      <c r="U20" s="3" t="s">
        <v>20</v>
      </c>
      <c r="V20" s="3" t="s">
        <v>22</v>
      </c>
      <c r="W20" s="3" t="s">
        <v>20</v>
      </c>
      <c r="X20" s="3" t="s">
        <v>20</v>
      </c>
      <c r="Y20" s="8" t="s">
        <v>20</v>
      </c>
      <c r="Z20" s="12" t="s">
        <v>20</v>
      </c>
      <c r="AA20" s="12" t="s">
        <v>20</v>
      </c>
      <c r="AB20" s="12" t="s">
        <v>20</v>
      </c>
      <c r="AC20" s="12" t="s">
        <v>20</v>
      </c>
      <c r="AD20" s="12" t="s">
        <v>20</v>
      </c>
      <c r="AE20" s="12" t="s">
        <v>20</v>
      </c>
      <c r="AF20" s="12" t="s">
        <v>22</v>
      </c>
      <c r="BB20" s="24">
        <f t="shared" si="2"/>
        <v>23</v>
      </c>
      <c r="BC20" s="24">
        <f t="shared" si="3"/>
        <v>0</v>
      </c>
    </row>
    <row r="21" spans="1:55" x14ac:dyDescent="0.3">
      <c r="A21">
        <v>20</v>
      </c>
      <c r="B21" s="20" t="s">
        <v>40</v>
      </c>
      <c r="C21" s="24">
        <f t="shared" si="0"/>
        <v>7</v>
      </c>
      <c r="D21" s="24">
        <f t="shared" si="1"/>
        <v>20</v>
      </c>
      <c r="E21" s="24"/>
      <c r="F21" s="21" t="s">
        <v>20</v>
      </c>
      <c r="G21" s="3" t="s">
        <v>20</v>
      </c>
      <c r="H21" s="3" t="s">
        <v>20</v>
      </c>
      <c r="I21" s="3" t="s">
        <v>20</v>
      </c>
      <c r="J21" s="3" t="s">
        <v>22</v>
      </c>
      <c r="K21" s="3" t="s">
        <v>86</v>
      </c>
      <c r="L21" s="3" t="s">
        <v>22</v>
      </c>
      <c r="M21" s="3" t="s">
        <v>20</v>
      </c>
      <c r="N21" s="3" t="s">
        <v>20</v>
      </c>
      <c r="O21" s="3" t="s">
        <v>20</v>
      </c>
      <c r="P21" s="3" t="s">
        <v>22</v>
      </c>
      <c r="Q21" s="3" t="s">
        <v>20</v>
      </c>
      <c r="R21" s="3" t="s">
        <v>22</v>
      </c>
      <c r="S21" s="3" t="s">
        <v>20</v>
      </c>
      <c r="T21" s="3" t="s">
        <v>20</v>
      </c>
      <c r="U21" s="3" t="s">
        <v>22</v>
      </c>
      <c r="V21" s="3" t="s">
        <v>20</v>
      </c>
      <c r="W21" s="3" t="s">
        <v>20</v>
      </c>
      <c r="X21" s="3" t="s">
        <v>20</v>
      </c>
      <c r="Y21" s="8" t="s">
        <v>20</v>
      </c>
      <c r="Z21" s="12" t="s">
        <v>20</v>
      </c>
      <c r="AA21" s="12" t="s">
        <v>20</v>
      </c>
      <c r="AB21" s="12" t="s">
        <v>20</v>
      </c>
      <c r="AC21" s="12" t="s">
        <v>20</v>
      </c>
      <c r="AD21" s="12" t="s">
        <v>20</v>
      </c>
      <c r="AE21" s="12" t="s">
        <v>22</v>
      </c>
      <c r="AF21" s="12" t="s">
        <v>22</v>
      </c>
      <c r="BB21" s="24">
        <f t="shared" si="2"/>
        <v>19</v>
      </c>
      <c r="BC21" s="24">
        <f t="shared" si="3"/>
        <v>1</v>
      </c>
    </row>
    <row r="22" spans="1:55" x14ac:dyDescent="0.3">
      <c r="A22">
        <v>21</v>
      </c>
      <c r="B22" s="20" t="s">
        <v>41</v>
      </c>
      <c r="C22" s="24">
        <f t="shared" si="0"/>
        <v>1</v>
      </c>
      <c r="D22" s="24">
        <f t="shared" si="1"/>
        <v>26</v>
      </c>
      <c r="E22" s="24"/>
      <c r="F22" s="21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  <c r="R22" s="3" t="s">
        <v>20</v>
      </c>
      <c r="S22" s="3" t="s">
        <v>20</v>
      </c>
      <c r="T22" s="3" t="s">
        <v>20</v>
      </c>
      <c r="U22" s="3" t="s">
        <v>20</v>
      </c>
      <c r="V22" s="3" t="s">
        <v>20</v>
      </c>
      <c r="W22" s="3" t="s">
        <v>20</v>
      </c>
      <c r="X22" s="3" t="s">
        <v>20</v>
      </c>
      <c r="Y22" s="8" t="s">
        <v>22</v>
      </c>
      <c r="Z22" s="12" t="s">
        <v>20</v>
      </c>
      <c r="AA22" s="12" t="s">
        <v>20</v>
      </c>
      <c r="AB22" s="12" t="s">
        <v>20</v>
      </c>
      <c r="AC22" s="12" t="s">
        <v>20</v>
      </c>
      <c r="AD22" s="12" t="s">
        <v>20</v>
      </c>
      <c r="AE22" s="12" t="s">
        <v>20</v>
      </c>
      <c r="AF22" s="12" t="s">
        <v>20</v>
      </c>
      <c r="BB22" s="24">
        <f t="shared" si="2"/>
        <v>26</v>
      </c>
      <c r="BC22" s="24">
        <f t="shared" si="3"/>
        <v>0</v>
      </c>
    </row>
    <row r="23" spans="1:55" x14ac:dyDescent="0.3">
      <c r="A23">
        <v>22</v>
      </c>
      <c r="B23" s="20" t="s">
        <v>87</v>
      </c>
      <c r="C23" s="24">
        <f t="shared" si="0"/>
        <v>0</v>
      </c>
      <c r="D23" s="24">
        <f t="shared" si="1"/>
        <v>27</v>
      </c>
      <c r="E23" s="24"/>
      <c r="F23" s="21" t="s">
        <v>20</v>
      </c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  <c r="L23" s="6" t="s">
        <v>20</v>
      </c>
      <c r="M23" s="6" t="s">
        <v>20</v>
      </c>
      <c r="N23" s="6" t="s">
        <v>20</v>
      </c>
      <c r="O23" s="6" t="s">
        <v>20</v>
      </c>
      <c r="P23" s="6" t="s">
        <v>20</v>
      </c>
      <c r="Q23" s="6" t="s">
        <v>20</v>
      </c>
      <c r="R23" s="6" t="s">
        <v>20</v>
      </c>
      <c r="S23" s="6" t="s">
        <v>20</v>
      </c>
      <c r="T23" s="6" t="s">
        <v>20</v>
      </c>
      <c r="U23" s="6" t="s">
        <v>20</v>
      </c>
      <c r="V23" s="6" t="s">
        <v>20</v>
      </c>
      <c r="W23" s="6" t="s">
        <v>20</v>
      </c>
      <c r="X23" s="6" t="s">
        <v>20</v>
      </c>
      <c r="Y23" s="9" t="s">
        <v>20</v>
      </c>
      <c r="Z23" s="12" t="s">
        <v>20</v>
      </c>
      <c r="AA23" s="12" t="s">
        <v>20</v>
      </c>
      <c r="AB23" s="12" t="s">
        <v>20</v>
      </c>
      <c r="AC23" s="12" t="s">
        <v>20</v>
      </c>
      <c r="AD23" s="12" t="s">
        <v>20</v>
      </c>
      <c r="AE23" s="12" t="s">
        <v>20</v>
      </c>
      <c r="AF23" s="12" t="s">
        <v>20</v>
      </c>
      <c r="BB23" s="24">
        <f t="shared" si="2"/>
        <v>27</v>
      </c>
      <c r="BC23" s="24">
        <f t="shared" si="3"/>
        <v>0</v>
      </c>
    </row>
    <row r="24" spans="1:55" x14ac:dyDescent="0.3">
      <c r="A24">
        <v>23</v>
      </c>
      <c r="B24" s="20" t="s">
        <v>42</v>
      </c>
      <c r="C24" s="24">
        <f t="shared" si="0"/>
        <v>2</v>
      </c>
      <c r="D24" s="24">
        <f t="shared" si="1"/>
        <v>25</v>
      </c>
      <c r="E24" s="24"/>
      <c r="F24" s="21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22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3" t="s">
        <v>20</v>
      </c>
      <c r="R24" s="3" t="s">
        <v>20</v>
      </c>
      <c r="S24" s="3" t="s">
        <v>20</v>
      </c>
      <c r="T24" s="3" t="s">
        <v>20</v>
      </c>
      <c r="U24" s="3" t="s">
        <v>20</v>
      </c>
      <c r="V24" s="3" t="s">
        <v>20</v>
      </c>
      <c r="W24" s="3" t="s">
        <v>20</v>
      </c>
      <c r="X24" s="3" t="s">
        <v>20</v>
      </c>
      <c r="Y24" s="8" t="s">
        <v>20</v>
      </c>
      <c r="Z24" s="12" t="s">
        <v>20</v>
      </c>
      <c r="AA24" s="12" t="s">
        <v>20</v>
      </c>
      <c r="AB24" s="12" t="s">
        <v>20</v>
      </c>
      <c r="AC24" s="12" t="s">
        <v>20</v>
      </c>
      <c r="AD24" s="12" t="s">
        <v>20</v>
      </c>
      <c r="AE24" s="12" t="s">
        <v>22</v>
      </c>
      <c r="AF24" s="12" t="s">
        <v>20</v>
      </c>
      <c r="BB24" s="24">
        <f t="shared" si="2"/>
        <v>25</v>
      </c>
      <c r="BC24" s="24">
        <f t="shared" si="3"/>
        <v>0</v>
      </c>
    </row>
    <row r="25" spans="1:55" x14ac:dyDescent="0.3">
      <c r="A25">
        <v>24</v>
      </c>
      <c r="B25" s="20" t="s">
        <v>43</v>
      </c>
      <c r="C25" s="24">
        <f t="shared" si="0"/>
        <v>0</v>
      </c>
      <c r="D25" s="24">
        <f t="shared" si="1"/>
        <v>27</v>
      </c>
      <c r="E25" s="24"/>
      <c r="F25" s="21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20</v>
      </c>
      <c r="S25" s="3" t="s">
        <v>20</v>
      </c>
      <c r="T25" s="3" t="s">
        <v>20</v>
      </c>
      <c r="U25" s="3" t="s">
        <v>20</v>
      </c>
      <c r="V25" s="3" t="s">
        <v>20</v>
      </c>
      <c r="W25" s="3" t="s">
        <v>20</v>
      </c>
      <c r="X25" s="3" t="s">
        <v>20</v>
      </c>
      <c r="Y25" s="8" t="s">
        <v>20</v>
      </c>
      <c r="Z25" s="12" t="s">
        <v>20</v>
      </c>
      <c r="AA25" s="12" t="s">
        <v>20</v>
      </c>
      <c r="AB25" s="12" t="s">
        <v>20</v>
      </c>
      <c r="AC25" s="12" t="s">
        <v>20</v>
      </c>
      <c r="AD25" s="12" t="s">
        <v>20</v>
      </c>
      <c r="AE25" s="12" t="s">
        <v>20</v>
      </c>
      <c r="AF25" s="12" t="s">
        <v>20</v>
      </c>
      <c r="BB25" s="24">
        <f t="shared" si="2"/>
        <v>27</v>
      </c>
      <c r="BC25" s="24">
        <f t="shared" si="3"/>
        <v>0</v>
      </c>
    </row>
    <row r="26" spans="1:55" x14ac:dyDescent="0.3">
      <c r="A26">
        <v>25</v>
      </c>
      <c r="B26" s="20" t="s">
        <v>44</v>
      </c>
      <c r="C26" s="24">
        <f t="shared" si="0"/>
        <v>2</v>
      </c>
      <c r="D26" s="24">
        <f t="shared" si="1"/>
        <v>25</v>
      </c>
      <c r="E26" s="24"/>
      <c r="F26" s="21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22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20</v>
      </c>
      <c r="R26" s="3" t="s">
        <v>20</v>
      </c>
      <c r="S26" s="3" t="s">
        <v>20</v>
      </c>
      <c r="T26" s="3" t="s">
        <v>20</v>
      </c>
      <c r="U26" s="3" t="s">
        <v>22</v>
      </c>
      <c r="V26" s="3" t="s">
        <v>20</v>
      </c>
      <c r="W26" s="3" t="s">
        <v>20</v>
      </c>
      <c r="X26" s="3" t="s">
        <v>20</v>
      </c>
      <c r="Y26" s="8" t="s">
        <v>20</v>
      </c>
      <c r="Z26" s="12" t="s">
        <v>20</v>
      </c>
      <c r="AA26" s="12" t="s">
        <v>20</v>
      </c>
      <c r="AB26" s="12" t="s">
        <v>20</v>
      </c>
      <c r="AC26" s="12" t="s">
        <v>20</v>
      </c>
      <c r="AD26" s="12" t="s">
        <v>20</v>
      </c>
      <c r="AE26" s="12" t="s">
        <v>20</v>
      </c>
      <c r="AF26" s="12" t="s">
        <v>20</v>
      </c>
      <c r="BB26" s="24">
        <f t="shared" si="2"/>
        <v>25</v>
      </c>
      <c r="BC26" s="24">
        <f t="shared" si="3"/>
        <v>0</v>
      </c>
    </row>
    <row r="27" spans="1:55" x14ac:dyDescent="0.3">
      <c r="A27">
        <v>26</v>
      </c>
      <c r="B27" s="20" t="s">
        <v>45</v>
      </c>
      <c r="C27" s="24">
        <f t="shared" si="0"/>
        <v>0</v>
      </c>
      <c r="D27" s="24">
        <f t="shared" si="1"/>
        <v>27</v>
      </c>
      <c r="E27" s="24"/>
      <c r="F27" s="21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3" t="s">
        <v>20</v>
      </c>
      <c r="R27" s="3" t="s">
        <v>20</v>
      </c>
      <c r="S27" s="3" t="s">
        <v>20</v>
      </c>
      <c r="T27" s="3" t="s">
        <v>20</v>
      </c>
      <c r="U27" s="3" t="s">
        <v>20</v>
      </c>
      <c r="V27" s="3" t="s">
        <v>20</v>
      </c>
      <c r="W27" s="3" t="s">
        <v>20</v>
      </c>
      <c r="X27" s="3" t="s">
        <v>20</v>
      </c>
      <c r="Y27" s="8" t="s">
        <v>20</v>
      </c>
      <c r="Z27" s="12" t="s">
        <v>20</v>
      </c>
      <c r="AA27" s="12" t="s">
        <v>20</v>
      </c>
      <c r="AB27" s="12" t="s">
        <v>20</v>
      </c>
      <c r="AC27" s="12" t="s">
        <v>20</v>
      </c>
      <c r="AD27" s="12" t="s">
        <v>20</v>
      </c>
      <c r="AE27" s="12" t="s">
        <v>20</v>
      </c>
      <c r="AF27" s="12" t="s">
        <v>20</v>
      </c>
      <c r="BB27" s="24">
        <f t="shared" si="2"/>
        <v>27</v>
      </c>
      <c r="BC27" s="24">
        <f t="shared" si="3"/>
        <v>0</v>
      </c>
    </row>
    <row r="28" spans="1:55" x14ac:dyDescent="0.3">
      <c r="A28">
        <v>27</v>
      </c>
      <c r="B28" s="20" t="s">
        <v>46</v>
      </c>
      <c r="C28" s="24">
        <f t="shared" si="0"/>
        <v>2</v>
      </c>
      <c r="D28" s="24">
        <f t="shared" si="1"/>
        <v>25</v>
      </c>
      <c r="E28" s="24"/>
      <c r="F28" s="21" t="s">
        <v>20</v>
      </c>
      <c r="G28" s="3" t="s">
        <v>20</v>
      </c>
      <c r="H28" s="3" t="s">
        <v>20</v>
      </c>
      <c r="I28" s="3" t="s">
        <v>20</v>
      </c>
      <c r="J28" s="3" t="s">
        <v>22</v>
      </c>
      <c r="K28" s="3" t="s">
        <v>86</v>
      </c>
      <c r="L28" s="3" t="s">
        <v>22</v>
      </c>
      <c r="M28" s="3" t="s">
        <v>20</v>
      </c>
      <c r="N28" s="3" t="s">
        <v>20</v>
      </c>
      <c r="O28" s="3" t="s">
        <v>20</v>
      </c>
      <c r="P28" s="3" t="s">
        <v>20</v>
      </c>
      <c r="Q28" s="3" t="s">
        <v>20</v>
      </c>
      <c r="R28" s="3" t="s">
        <v>20</v>
      </c>
      <c r="S28" s="3" t="s">
        <v>20</v>
      </c>
      <c r="T28" s="3" t="s">
        <v>20</v>
      </c>
      <c r="U28" s="3" t="s">
        <v>20</v>
      </c>
      <c r="V28" s="3" t="s">
        <v>20</v>
      </c>
      <c r="W28" s="3" t="s">
        <v>20</v>
      </c>
      <c r="X28" s="3" t="s">
        <v>20</v>
      </c>
      <c r="Y28" s="8" t="s">
        <v>20</v>
      </c>
      <c r="Z28" s="12" t="s">
        <v>20</v>
      </c>
      <c r="AA28" s="12" t="s">
        <v>20</v>
      </c>
      <c r="AB28" s="12" t="s">
        <v>20</v>
      </c>
      <c r="AC28" s="12" t="s">
        <v>20</v>
      </c>
      <c r="AD28" s="12" t="s">
        <v>20</v>
      </c>
      <c r="AE28" s="12" t="s">
        <v>20</v>
      </c>
      <c r="AF28" s="12" t="s">
        <v>20</v>
      </c>
      <c r="BB28" s="24">
        <f t="shared" si="2"/>
        <v>24</v>
      </c>
      <c r="BC28" s="24">
        <f t="shared" si="3"/>
        <v>1</v>
      </c>
    </row>
    <row r="29" spans="1:55" x14ac:dyDescent="0.3">
      <c r="A29">
        <v>28</v>
      </c>
      <c r="B29" s="20" t="s">
        <v>47</v>
      </c>
      <c r="C29" s="24">
        <f t="shared" si="0"/>
        <v>6</v>
      </c>
      <c r="D29" s="24">
        <f t="shared" si="1"/>
        <v>21</v>
      </c>
      <c r="E29" s="24"/>
      <c r="F29" s="21" t="s">
        <v>20</v>
      </c>
      <c r="G29" s="3" t="s">
        <v>86</v>
      </c>
      <c r="H29" s="3" t="s">
        <v>86</v>
      </c>
      <c r="I29" s="3" t="s">
        <v>22</v>
      </c>
      <c r="J29" s="3" t="s">
        <v>22</v>
      </c>
      <c r="K29" s="3" t="s">
        <v>86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  <c r="S29" s="3" t="s">
        <v>20</v>
      </c>
      <c r="T29" s="3" t="s">
        <v>20</v>
      </c>
      <c r="U29" s="3" t="s">
        <v>20</v>
      </c>
      <c r="V29" s="3" t="s">
        <v>22</v>
      </c>
      <c r="W29" s="3" t="s">
        <v>20</v>
      </c>
      <c r="X29" s="3" t="s">
        <v>22</v>
      </c>
      <c r="Y29" s="8" t="s">
        <v>22</v>
      </c>
      <c r="Z29" s="12" t="s">
        <v>20</v>
      </c>
      <c r="AA29" s="12" t="s">
        <v>20</v>
      </c>
      <c r="AB29" s="12" t="s">
        <v>20</v>
      </c>
      <c r="AC29" s="12" t="s">
        <v>20</v>
      </c>
      <c r="AD29" s="12" t="s">
        <v>20</v>
      </c>
      <c r="AE29" s="12" t="s">
        <v>22</v>
      </c>
      <c r="AF29" s="12" t="s">
        <v>20</v>
      </c>
      <c r="BB29" s="24">
        <f t="shared" si="2"/>
        <v>18</v>
      </c>
      <c r="BC29" s="24">
        <f t="shared" si="3"/>
        <v>3</v>
      </c>
    </row>
    <row r="30" spans="1:55" x14ac:dyDescent="0.3">
      <c r="A30">
        <v>29</v>
      </c>
      <c r="B30" s="20" t="s">
        <v>48</v>
      </c>
      <c r="C30" s="24">
        <f t="shared" si="0"/>
        <v>7</v>
      </c>
      <c r="D30" s="24">
        <f t="shared" si="1"/>
        <v>20</v>
      </c>
      <c r="E30" s="24"/>
      <c r="F30" s="21" t="s">
        <v>20</v>
      </c>
      <c r="G30" s="3" t="s">
        <v>20</v>
      </c>
      <c r="H30" s="3" t="s">
        <v>20</v>
      </c>
      <c r="I30" s="3" t="s">
        <v>20</v>
      </c>
      <c r="J30" s="3" t="s">
        <v>22</v>
      </c>
      <c r="K30" s="3" t="s">
        <v>20</v>
      </c>
      <c r="L30" s="3" t="s">
        <v>20</v>
      </c>
      <c r="M30" s="3" t="s">
        <v>20</v>
      </c>
      <c r="N30" s="3" t="s">
        <v>22</v>
      </c>
      <c r="O30" s="3" t="s">
        <v>20</v>
      </c>
      <c r="P30" s="3" t="s">
        <v>22</v>
      </c>
      <c r="Q30" s="3" t="s">
        <v>20</v>
      </c>
      <c r="R30" s="3" t="s">
        <v>20</v>
      </c>
      <c r="S30" s="3" t="s">
        <v>20</v>
      </c>
      <c r="T30" s="3" t="s">
        <v>20</v>
      </c>
      <c r="U30" s="3" t="s">
        <v>20</v>
      </c>
      <c r="V30" s="3" t="s">
        <v>20</v>
      </c>
      <c r="W30" s="3" t="s">
        <v>22</v>
      </c>
      <c r="X30" s="3" t="s">
        <v>20</v>
      </c>
      <c r="Y30" s="8" t="s">
        <v>22</v>
      </c>
      <c r="Z30" s="12" t="s">
        <v>20</v>
      </c>
      <c r="AA30" s="12" t="s">
        <v>20</v>
      </c>
      <c r="AB30" s="12" t="s">
        <v>20</v>
      </c>
      <c r="AC30" s="12" t="s">
        <v>20</v>
      </c>
      <c r="AD30" s="12" t="s">
        <v>20</v>
      </c>
      <c r="AE30" s="12" t="s">
        <v>22</v>
      </c>
      <c r="AF30" s="12" t="s">
        <v>22</v>
      </c>
      <c r="BB30" s="24">
        <f t="shared" si="2"/>
        <v>20</v>
      </c>
      <c r="BC30" s="24">
        <f t="shared" si="3"/>
        <v>0</v>
      </c>
    </row>
    <row r="31" spans="1:55" x14ac:dyDescent="0.3">
      <c r="A31">
        <v>30</v>
      </c>
      <c r="B31" s="20" t="s">
        <v>49</v>
      </c>
      <c r="C31" s="24">
        <f t="shared" si="0"/>
        <v>4</v>
      </c>
      <c r="D31" s="24">
        <f t="shared" si="1"/>
        <v>23</v>
      </c>
      <c r="E31" s="24"/>
      <c r="F31" s="21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  <c r="S31" s="3" t="s">
        <v>20</v>
      </c>
      <c r="T31" s="3" t="s">
        <v>20</v>
      </c>
      <c r="U31" s="3" t="s">
        <v>20</v>
      </c>
      <c r="V31" s="3" t="s">
        <v>20</v>
      </c>
      <c r="W31" s="3" t="s">
        <v>20</v>
      </c>
      <c r="X31" s="3" t="s">
        <v>20</v>
      </c>
      <c r="Y31" s="8" t="s">
        <v>20</v>
      </c>
      <c r="Z31" s="12" t="s">
        <v>20</v>
      </c>
      <c r="AA31" s="12" t="s">
        <v>20</v>
      </c>
      <c r="AB31" s="12" t="s">
        <v>20</v>
      </c>
      <c r="AC31" s="12" t="s">
        <v>22</v>
      </c>
      <c r="AD31" s="12" t="s">
        <v>22</v>
      </c>
      <c r="AE31" s="12" t="s">
        <v>22</v>
      </c>
      <c r="AF31" s="12" t="s">
        <v>22</v>
      </c>
      <c r="BB31" s="24">
        <f t="shared" si="2"/>
        <v>23</v>
      </c>
      <c r="BC31" s="24">
        <f t="shared" si="3"/>
        <v>0</v>
      </c>
    </row>
    <row r="32" spans="1:55" x14ac:dyDescent="0.3">
      <c r="A32">
        <v>31</v>
      </c>
      <c r="B32" s="20" t="s">
        <v>50</v>
      </c>
      <c r="C32" s="24">
        <f t="shared" si="0"/>
        <v>3</v>
      </c>
      <c r="D32" s="24">
        <f t="shared" si="1"/>
        <v>24</v>
      </c>
      <c r="E32" s="24"/>
      <c r="F32" s="21" t="s">
        <v>22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22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  <c r="R32" s="3" t="s">
        <v>20</v>
      </c>
      <c r="S32" s="3" t="s">
        <v>20</v>
      </c>
      <c r="T32" s="3" t="s">
        <v>20</v>
      </c>
      <c r="U32" s="3" t="s">
        <v>20</v>
      </c>
      <c r="V32" s="3" t="s">
        <v>20</v>
      </c>
      <c r="W32" s="3" t="s">
        <v>20</v>
      </c>
      <c r="X32" s="3" t="s">
        <v>20</v>
      </c>
      <c r="Y32" s="8" t="s">
        <v>20</v>
      </c>
      <c r="Z32" s="12" t="s">
        <v>20</v>
      </c>
      <c r="AA32" s="12" t="s">
        <v>20</v>
      </c>
      <c r="AB32" s="12" t="s">
        <v>20</v>
      </c>
      <c r="AC32" s="12" t="s">
        <v>20</v>
      </c>
      <c r="AD32" s="12" t="s">
        <v>20</v>
      </c>
      <c r="AE32" s="12" t="s">
        <v>22</v>
      </c>
      <c r="AF32" s="12" t="s">
        <v>20</v>
      </c>
      <c r="BB32" s="24">
        <f t="shared" si="2"/>
        <v>24</v>
      </c>
      <c r="BC32" s="24">
        <f t="shared" si="3"/>
        <v>0</v>
      </c>
    </row>
    <row r="33" spans="1:55" x14ac:dyDescent="0.3">
      <c r="A33">
        <v>32</v>
      </c>
      <c r="B33" s="20" t="s">
        <v>51</v>
      </c>
      <c r="C33" s="24">
        <f t="shared" si="0"/>
        <v>0</v>
      </c>
      <c r="D33" s="24">
        <f t="shared" si="1"/>
        <v>27</v>
      </c>
      <c r="E33" s="24"/>
      <c r="F33" s="21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  <c r="S33" s="3" t="s">
        <v>20</v>
      </c>
      <c r="T33" s="3" t="s">
        <v>20</v>
      </c>
      <c r="U33" s="3" t="s">
        <v>20</v>
      </c>
      <c r="V33" s="3" t="s">
        <v>20</v>
      </c>
      <c r="W33" s="3" t="s">
        <v>20</v>
      </c>
      <c r="X33" s="3" t="s">
        <v>20</v>
      </c>
      <c r="Y33" s="8" t="s">
        <v>20</v>
      </c>
      <c r="Z33" s="12" t="s">
        <v>20</v>
      </c>
      <c r="AA33" s="12" t="s">
        <v>20</v>
      </c>
      <c r="AB33" s="12" t="s">
        <v>20</v>
      </c>
      <c r="AC33" s="12" t="s">
        <v>20</v>
      </c>
      <c r="AD33" s="12" t="s">
        <v>20</v>
      </c>
      <c r="AE33" s="12" t="s">
        <v>20</v>
      </c>
      <c r="AF33" s="12" t="s">
        <v>20</v>
      </c>
      <c r="BB33" s="24">
        <f t="shared" si="2"/>
        <v>27</v>
      </c>
      <c r="BC33" s="24">
        <f t="shared" si="3"/>
        <v>0</v>
      </c>
    </row>
    <row r="34" spans="1:55" x14ac:dyDescent="0.3">
      <c r="A34">
        <v>33</v>
      </c>
      <c r="B34" s="20" t="s">
        <v>52</v>
      </c>
      <c r="C34" s="24">
        <f t="shared" ref="C34:C65" si="4">COUNTIF(F34:AN34,"AB")</f>
        <v>4</v>
      </c>
      <c r="D34" s="24">
        <f t="shared" ref="D34:D65" si="5">BB34+BC34</f>
        <v>23</v>
      </c>
      <c r="E34" s="24"/>
      <c r="F34" s="21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22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22</v>
      </c>
      <c r="Q34" s="3" t="s">
        <v>20</v>
      </c>
      <c r="R34" s="3" t="s">
        <v>20</v>
      </c>
      <c r="S34" s="3" t="s">
        <v>20</v>
      </c>
      <c r="T34" s="3" t="s">
        <v>20</v>
      </c>
      <c r="U34" s="3" t="s">
        <v>20</v>
      </c>
      <c r="V34" s="3" t="s">
        <v>22</v>
      </c>
      <c r="W34" s="3" t="s">
        <v>20</v>
      </c>
      <c r="X34" s="3" t="s">
        <v>20</v>
      </c>
      <c r="Y34" s="8" t="s">
        <v>20</v>
      </c>
      <c r="Z34" s="12" t="s">
        <v>20</v>
      </c>
      <c r="AA34" s="12" t="s">
        <v>20</v>
      </c>
      <c r="AB34" s="12" t="s">
        <v>20</v>
      </c>
      <c r="AC34" s="12" t="s">
        <v>20</v>
      </c>
      <c r="AD34" s="12" t="s">
        <v>20</v>
      </c>
      <c r="AE34" s="12" t="s">
        <v>20</v>
      </c>
      <c r="AF34" s="12" t="s">
        <v>22</v>
      </c>
      <c r="BB34" s="24">
        <f t="shared" ref="BB34:BB65" si="6">COUNTIF(F34:AN34,"P")</f>
        <v>23</v>
      </c>
      <c r="BC34" s="24">
        <f t="shared" ref="BC34:BC65" si="7">COUNTIF(G34:AO34,"OD")</f>
        <v>0</v>
      </c>
    </row>
    <row r="35" spans="1:55" x14ac:dyDescent="0.3">
      <c r="A35">
        <v>34</v>
      </c>
      <c r="B35" s="20" t="s">
        <v>53</v>
      </c>
      <c r="C35" s="24">
        <f t="shared" si="4"/>
        <v>1</v>
      </c>
      <c r="D35" s="24">
        <f t="shared" si="5"/>
        <v>26</v>
      </c>
      <c r="E35" s="24"/>
      <c r="F35" s="21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22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 t="s">
        <v>20</v>
      </c>
      <c r="T35" s="3" t="s">
        <v>20</v>
      </c>
      <c r="U35" s="3" t="s">
        <v>20</v>
      </c>
      <c r="V35" s="3" t="s">
        <v>20</v>
      </c>
      <c r="W35" s="3" t="s">
        <v>20</v>
      </c>
      <c r="X35" s="3" t="s">
        <v>20</v>
      </c>
      <c r="Y35" s="8" t="s">
        <v>20</v>
      </c>
      <c r="Z35" s="12" t="s">
        <v>20</v>
      </c>
      <c r="AA35" s="12" t="s">
        <v>20</v>
      </c>
      <c r="AB35" s="12" t="s">
        <v>20</v>
      </c>
      <c r="AC35" s="12" t="s">
        <v>20</v>
      </c>
      <c r="AD35" s="12" t="s">
        <v>20</v>
      </c>
      <c r="AE35" s="12" t="s">
        <v>20</v>
      </c>
      <c r="AF35" s="12" t="s">
        <v>20</v>
      </c>
      <c r="BB35" s="24">
        <f t="shared" si="6"/>
        <v>26</v>
      </c>
      <c r="BC35" s="24">
        <f t="shared" si="7"/>
        <v>0</v>
      </c>
    </row>
    <row r="36" spans="1:55" x14ac:dyDescent="0.3">
      <c r="A36">
        <v>35</v>
      </c>
      <c r="B36" s="20" t="s">
        <v>54</v>
      </c>
      <c r="C36" s="24">
        <f t="shared" si="4"/>
        <v>1</v>
      </c>
      <c r="D36" s="24">
        <f t="shared" si="5"/>
        <v>26</v>
      </c>
      <c r="E36" s="24"/>
      <c r="F36" s="21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R36" s="3" t="s">
        <v>20</v>
      </c>
      <c r="S36" s="3" t="s">
        <v>20</v>
      </c>
      <c r="T36" s="3" t="s">
        <v>20</v>
      </c>
      <c r="U36" s="3" t="s">
        <v>20</v>
      </c>
      <c r="V36" s="3" t="s">
        <v>22</v>
      </c>
      <c r="W36" s="3" t="s">
        <v>20</v>
      </c>
      <c r="X36" s="3" t="s">
        <v>20</v>
      </c>
      <c r="Y36" s="8" t="s">
        <v>20</v>
      </c>
      <c r="Z36" s="12" t="s">
        <v>20</v>
      </c>
      <c r="AA36" s="12" t="s">
        <v>20</v>
      </c>
      <c r="AB36" s="12" t="s">
        <v>20</v>
      </c>
      <c r="AC36" s="12" t="s">
        <v>20</v>
      </c>
      <c r="AD36" s="12" t="s">
        <v>20</v>
      </c>
      <c r="AE36" s="12" t="s">
        <v>20</v>
      </c>
      <c r="AF36" s="12" t="s">
        <v>20</v>
      </c>
      <c r="BB36" s="24">
        <f t="shared" si="6"/>
        <v>26</v>
      </c>
      <c r="BC36" s="24">
        <f t="shared" si="7"/>
        <v>0</v>
      </c>
    </row>
    <row r="37" spans="1:55" x14ac:dyDescent="0.3">
      <c r="A37">
        <v>36</v>
      </c>
      <c r="B37" s="20" t="s">
        <v>55</v>
      </c>
      <c r="C37" s="24">
        <f t="shared" si="4"/>
        <v>1</v>
      </c>
      <c r="D37" s="24">
        <f t="shared" si="5"/>
        <v>26</v>
      </c>
      <c r="E37" s="24"/>
      <c r="F37" s="21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22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 t="s">
        <v>20</v>
      </c>
      <c r="T37" s="3" t="s">
        <v>20</v>
      </c>
      <c r="U37" s="3" t="s">
        <v>20</v>
      </c>
      <c r="V37" s="3" t="s">
        <v>20</v>
      </c>
      <c r="W37" s="3" t="s">
        <v>20</v>
      </c>
      <c r="X37" s="3" t="s">
        <v>20</v>
      </c>
      <c r="Y37" s="8" t="s">
        <v>20</v>
      </c>
      <c r="Z37" s="12" t="s">
        <v>20</v>
      </c>
      <c r="AA37" s="12" t="s">
        <v>20</v>
      </c>
      <c r="AB37" s="12" t="s">
        <v>20</v>
      </c>
      <c r="AC37" s="12" t="s">
        <v>20</v>
      </c>
      <c r="AD37" s="12" t="s">
        <v>20</v>
      </c>
      <c r="AE37" s="12" t="s">
        <v>20</v>
      </c>
      <c r="AF37" s="12" t="s">
        <v>20</v>
      </c>
      <c r="BB37" s="24">
        <f t="shared" si="6"/>
        <v>26</v>
      </c>
      <c r="BC37" s="24">
        <f t="shared" si="7"/>
        <v>0</v>
      </c>
    </row>
    <row r="38" spans="1:55" x14ac:dyDescent="0.3">
      <c r="A38">
        <v>37</v>
      </c>
      <c r="B38" s="20" t="s">
        <v>56</v>
      </c>
      <c r="C38" s="24">
        <f t="shared" si="4"/>
        <v>2</v>
      </c>
      <c r="D38" s="24">
        <f t="shared" si="5"/>
        <v>25</v>
      </c>
      <c r="E38" s="24"/>
      <c r="F38" s="21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22</v>
      </c>
      <c r="L38" s="3" t="s">
        <v>22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  <c r="S38" s="3" t="s">
        <v>20</v>
      </c>
      <c r="T38" s="3" t="s">
        <v>20</v>
      </c>
      <c r="U38" s="3" t="s">
        <v>20</v>
      </c>
      <c r="V38" s="3" t="s">
        <v>20</v>
      </c>
      <c r="W38" s="3" t="s">
        <v>20</v>
      </c>
      <c r="X38" s="3" t="s">
        <v>20</v>
      </c>
      <c r="Y38" s="8" t="s">
        <v>20</v>
      </c>
      <c r="Z38" s="12" t="s">
        <v>20</v>
      </c>
      <c r="AA38" s="12" t="s">
        <v>20</v>
      </c>
      <c r="AB38" s="12" t="s">
        <v>20</v>
      </c>
      <c r="AC38" s="12" t="s">
        <v>20</v>
      </c>
      <c r="AD38" s="12" t="s">
        <v>20</v>
      </c>
      <c r="AE38" s="12" t="s">
        <v>20</v>
      </c>
      <c r="AF38" s="12" t="s">
        <v>20</v>
      </c>
      <c r="BB38" s="24">
        <f t="shared" si="6"/>
        <v>25</v>
      </c>
      <c r="BC38" s="24">
        <f t="shared" si="7"/>
        <v>0</v>
      </c>
    </row>
    <row r="39" spans="1:55" x14ac:dyDescent="0.3">
      <c r="A39">
        <v>38</v>
      </c>
      <c r="B39" s="20" t="s">
        <v>57</v>
      </c>
      <c r="C39" s="24">
        <f t="shared" si="4"/>
        <v>6</v>
      </c>
      <c r="D39" s="24">
        <f t="shared" si="5"/>
        <v>21</v>
      </c>
      <c r="E39" s="24"/>
      <c r="F39" s="21" t="s">
        <v>20</v>
      </c>
      <c r="G39" s="3" t="s">
        <v>22</v>
      </c>
      <c r="H39" s="3" t="s">
        <v>20</v>
      </c>
      <c r="I39" s="3" t="s">
        <v>20</v>
      </c>
      <c r="J39" s="3" t="s">
        <v>20</v>
      </c>
      <c r="K39" s="3" t="s">
        <v>22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22</v>
      </c>
      <c r="Q39" s="3" t="s">
        <v>20</v>
      </c>
      <c r="R39" s="3" t="s">
        <v>20</v>
      </c>
      <c r="S39" s="3" t="s">
        <v>20</v>
      </c>
      <c r="T39" s="3" t="s">
        <v>20</v>
      </c>
      <c r="U39" s="3" t="s">
        <v>20</v>
      </c>
      <c r="V39" s="3" t="s">
        <v>20</v>
      </c>
      <c r="W39" s="3" t="s">
        <v>20</v>
      </c>
      <c r="X39" s="3" t="s">
        <v>22</v>
      </c>
      <c r="Y39" s="8" t="s">
        <v>20</v>
      </c>
      <c r="Z39" s="12" t="s">
        <v>20</v>
      </c>
      <c r="AA39" s="12" t="s">
        <v>20</v>
      </c>
      <c r="AB39" s="12" t="s">
        <v>20</v>
      </c>
      <c r="AC39" s="12" t="s">
        <v>20</v>
      </c>
      <c r="AD39" s="12" t="s">
        <v>20</v>
      </c>
      <c r="AE39" s="12" t="s">
        <v>22</v>
      </c>
      <c r="AF39" s="12" t="s">
        <v>22</v>
      </c>
      <c r="BB39" s="24">
        <f t="shared" si="6"/>
        <v>21</v>
      </c>
      <c r="BC39" s="24">
        <f t="shared" si="7"/>
        <v>0</v>
      </c>
    </row>
    <row r="40" spans="1:55" x14ac:dyDescent="0.3">
      <c r="A40">
        <v>39</v>
      </c>
      <c r="B40" s="20" t="s">
        <v>58</v>
      </c>
      <c r="C40" s="24">
        <f t="shared" si="4"/>
        <v>4</v>
      </c>
      <c r="D40" s="24">
        <f t="shared" si="5"/>
        <v>23</v>
      </c>
      <c r="E40" s="24"/>
      <c r="F40" s="21" t="s">
        <v>20</v>
      </c>
      <c r="G40" s="3" t="s">
        <v>20</v>
      </c>
      <c r="H40" s="3" t="s">
        <v>20</v>
      </c>
      <c r="I40" s="3" t="s">
        <v>20</v>
      </c>
      <c r="J40" s="3" t="s">
        <v>22</v>
      </c>
      <c r="K40" s="3" t="s">
        <v>22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  <c r="R40" s="3" t="s">
        <v>20</v>
      </c>
      <c r="S40" s="3" t="s">
        <v>22</v>
      </c>
      <c r="T40" s="3" t="s">
        <v>20</v>
      </c>
      <c r="U40" s="3" t="s">
        <v>22</v>
      </c>
      <c r="V40" s="3" t="s">
        <v>20</v>
      </c>
      <c r="W40" s="3" t="s">
        <v>20</v>
      </c>
      <c r="X40" s="3" t="s">
        <v>20</v>
      </c>
      <c r="Y40" s="8" t="s">
        <v>20</v>
      </c>
      <c r="Z40" s="12" t="s">
        <v>20</v>
      </c>
      <c r="AA40" s="12" t="s">
        <v>20</v>
      </c>
      <c r="AB40" s="12" t="s">
        <v>20</v>
      </c>
      <c r="AC40" s="12" t="s">
        <v>20</v>
      </c>
      <c r="AD40" s="12" t="s">
        <v>86</v>
      </c>
      <c r="AE40" s="12" t="s">
        <v>20</v>
      </c>
      <c r="AF40" s="12" t="s">
        <v>20</v>
      </c>
      <c r="BB40" s="24">
        <f t="shared" si="6"/>
        <v>22</v>
      </c>
      <c r="BC40" s="24">
        <f t="shared" si="7"/>
        <v>1</v>
      </c>
    </row>
    <row r="41" spans="1:55" x14ac:dyDescent="0.3">
      <c r="A41">
        <v>40</v>
      </c>
      <c r="B41" s="20" t="s">
        <v>59</v>
      </c>
      <c r="C41" s="24">
        <f t="shared" si="4"/>
        <v>0</v>
      </c>
      <c r="D41" s="24">
        <f t="shared" si="5"/>
        <v>27</v>
      </c>
      <c r="E41" s="24"/>
      <c r="F41" s="21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s">
        <v>20</v>
      </c>
      <c r="S41" s="3" t="s">
        <v>20</v>
      </c>
      <c r="T41" s="3" t="s">
        <v>20</v>
      </c>
      <c r="U41" s="3" t="s">
        <v>20</v>
      </c>
      <c r="V41" s="3" t="s">
        <v>20</v>
      </c>
      <c r="W41" s="3" t="s">
        <v>20</v>
      </c>
      <c r="X41" s="3" t="s">
        <v>20</v>
      </c>
      <c r="Y41" s="8" t="s">
        <v>20</v>
      </c>
      <c r="Z41" s="12" t="s">
        <v>20</v>
      </c>
      <c r="AA41" s="12" t="s">
        <v>20</v>
      </c>
      <c r="AB41" s="12" t="s">
        <v>20</v>
      </c>
      <c r="AC41" s="12" t="s">
        <v>20</v>
      </c>
      <c r="AD41" s="12" t="s">
        <v>20</v>
      </c>
      <c r="AE41" s="12" t="s">
        <v>20</v>
      </c>
      <c r="AF41" s="12" t="s">
        <v>20</v>
      </c>
      <c r="BB41" s="24">
        <f t="shared" si="6"/>
        <v>27</v>
      </c>
      <c r="BC41" s="24">
        <f t="shared" si="7"/>
        <v>0</v>
      </c>
    </row>
    <row r="42" spans="1:55" x14ac:dyDescent="0.3">
      <c r="A42">
        <v>41</v>
      </c>
      <c r="B42" s="20" t="s">
        <v>60</v>
      </c>
      <c r="C42" s="24">
        <f t="shared" si="4"/>
        <v>3</v>
      </c>
      <c r="D42" s="24">
        <f t="shared" si="5"/>
        <v>24</v>
      </c>
      <c r="E42" s="24"/>
      <c r="F42" s="21" t="s">
        <v>20</v>
      </c>
      <c r="G42" s="3" t="s">
        <v>20</v>
      </c>
      <c r="H42" s="3" t="s">
        <v>20</v>
      </c>
      <c r="I42" s="3" t="s">
        <v>20</v>
      </c>
      <c r="J42" s="3" t="s">
        <v>22</v>
      </c>
      <c r="K42" s="3" t="s">
        <v>22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  <c r="R42" s="3" t="s">
        <v>20</v>
      </c>
      <c r="S42" s="3" t="s">
        <v>20</v>
      </c>
      <c r="T42" s="3" t="s">
        <v>20</v>
      </c>
      <c r="U42" s="3" t="s">
        <v>22</v>
      </c>
      <c r="V42" s="3" t="s">
        <v>20</v>
      </c>
      <c r="W42" s="3" t="s">
        <v>20</v>
      </c>
      <c r="X42" s="3" t="s">
        <v>20</v>
      </c>
      <c r="Y42" s="8" t="s">
        <v>20</v>
      </c>
      <c r="Z42" s="12" t="s">
        <v>20</v>
      </c>
      <c r="AA42" s="12" t="s">
        <v>20</v>
      </c>
      <c r="AB42" s="12" t="s">
        <v>20</v>
      </c>
      <c r="AC42" s="12" t="s">
        <v>20</v>
      </c>
      <c r="AD42" s="12" t="s">
        <v>20</v>
      </c>
      <c r="AE42" s="12" t="s">
        <v>20</v>
      </c>
      <c r="AF42" s="12" t="s">
        <v>20</v>
      </c>
      <c r="BB42" s="24">
        <f t="shared" si="6"/>
        <v>24</v>
      </c>
      <c r="BC42" s="24">
        <f t="shared" si="7"/>
        <v>0</v>
      </c>
    </row>
    <row r="43" spans="1:55" x14ac:dyDescent="0.3">
      <c r="A43">
        <v>42</v>
      </c>
      <c r="B43" s="20" t="s">
        <v>61</v>
      </c>
      <c r="C43" s="24">
        <f t="shared" si="4"/>
        <v>2</v>
      </c>
      <c r="D43" s="24">
        <f t="shared" si="5"/>
        <v>25</v>
      </c>
      <c r="E43" s="24"/>
      <c r="F43" s="21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22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  <c r="R43" s="3" t="s">
        <v>20</v>
      </c>
      <c r="S43" s="3" t="s">
        <v>20</v>
      </c>
      <c r="T43" s="3" t="s">
        <v>20</v>
      </c>
      <c r="U43" s="3" t="s">
        <v>20</v>
      </c>
      <c r="V43" s="3" t="s">
        <v>20</v>
      </c>
      <c r="W43" s="3" t="s">
        <v>22</v>
      </c>
      <c r="X43" s="3" t="s">
        <v>20</v>
      </c>
      <c r="Y43" s="8" t="s">
        <v>20</v>
      </c>
      <c r="Z43" s="12" t="s">
        <v>20</v>
      </c>
      <c r="AA43" s="12" t="s">
        <v>20</v>
      </c>
      <c r="AB43" s="12" t="s">
        <v>20</v>
      </c>
      <c r="AC43" s="12" t="s">
        <v>20</v>
      </c>
      <c r="AD43" s="12" t="s">
        <v>20</v>
      </c>
      <c r="AE43" s="12" t="s">
        <v>20</v>
      </c>
      <c r="AF43" s="12" t="s">
        <v>20</v>
      </c>
      <c r="BB43" s="24">
        <f t="shared" si="6"/>
        <v>25</v>
      </c>
      <c r="BC43" s="24">
        <f t="shared" si="7"/>
        <v>0</v>
      </c>
    </row>
    <row r="44" spans="1:55" x14ac:dyDescent="0.3">
      <c r="A44">
        <v>43</v>
      </c>
      <c r="B44" s="20" t="s">
        <v>62</v>
      </c>
      <c r="C44" s="24">
        <f t="shared" si="4"/>
        <v>1</v>
      </c>
      <c r="D44" s="24">
        <f t="shared" si="5"/>
        <v>26</v>
      </c>
      <c r="E44" s="24"/>
      <c r="F44" s="21" t="s">
        <v>20</v>
      </c>
      <c r="G44" s="3" t="s">
        <v>20</v>
      </c>
      <c r="H44" s="3" t="s">
        <v>20</v>
      </c>
      <c r="I44" s="3" t="s">
        <v>20</v>
      </c>
      <c r="J44" s="3" t="s">
        <v>22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 t="s">
        <v>20</v>
      </c>
      <c r="R44" s="3" t="s">
        <v>20</v>
      </c>
      <c r="S44" s="3" t="s">
        <v>20</v>
      </c>
      <c r="T44" s="3" t="s">
        <v>20</v>
      </c>
      <c r="U44" s="3" t="s">
        <v>20</v>
      </c>
      <c r="V44" s="3" t="s">
        <v>20</v>
      </c>
      <c r="W44" s="3" t="s">
        <v>20</v>
      </c>
      <c r="X44" s="3" t="s">
        <v>20</v>
      </c>
      <c r="Y44" s="8" t="s">
        <v>20</v>
      </c>
      <c r="Z44" s="12" t="s">
        <v>20</v>
      </c>
      <c r="AA44" s="12" t="s">
        <v>20</v>
      </c>
      <c r="AB44" s="12" t="s">
        <v>20</v>
      </c>
      <c r="AC44" s="12" t="s">
        <v>20</v>
      </c>
      <c r="AD44" s="12" t="s">
        <v>20</v>
      </c>
      <c r="AE44" s="12" t="s">
        <v>20</v>
      </c>
      <c r="AF44" s="12" t="s">
        <v>86</v>
      </c>
      <c r="BB44" s="24">
        <f t="shared" si="6"/>
        <v>25</v>
      </c>
      <c r="BC44" s="24">
        <f t="shared" si="7"/>
        <v>1</v>
      </c>
    </row>
    <row r="45" spans="1:55" x14ac:dyDescent="0.3">
      <c r="A45">
        <v>44</v>
      </c>
      <c r="B45" s="20" t="s">
        <v>63</v>
      </c>
      <c r="C45" s="24">
        <f t="shared" si="4"/>
        <v>3</v>
      </c>
      <c r="D45" s="24">
        <f t="shared" si="5"/>
        <v>24</v>
      </c>
      <c r="E45" s="24"/>
      <c r="F45" s="21" t="s">
        <v>20</v>
      </c>
      <c r="G45" s="3" t="s">
        <v>20</v>
      </c>
      <c r="H45" s="3" t="s">
        <v>22</v>
      </c>
      <c r="I45" s="3" t="s">
        <v>20</v>
      </c>
      <c r="J45" s="3" t="s">
        <v>20</v>
      </c>
      <c r="K45" s="3" t="s">
        <v>20</v>
      </c>
      <c r="L45" s="3" t="s">
        <v>22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  <c r="R45" s="3" t="s">
        <v>20</v>
      </c>
      <c r="S45" s="3" t="s">
        <v>20</v>
      </c>
      <c r="T45" s="3" t="s">
        <v>20</v>
      </c>
      <c r="U45" s="3" t="s">
        <v>22</v>
      </c>
      <c r="V45" s="3" t="s">
        <v>20</v>
      </c>
      <c r="W45" s="3" t="s">
        <v>20</v>
      </c>
      <c r="X45" s="3" t="s">
        <v>20</v>
      </c>
      <c r="Y45" s="8" t="s">
        <v>20</v>
      </c>
      <c r="Z45" s="12" t="s">
        <v>20</v>
      </c>
      <c r="AA45" s="12" t="s">
        <v>20</v>
      </c>
      <c r="AB45" s="12" t="s">
        <v>20</v>
      </c>
      <c r="AC45" s="12" t="s">
        <v>20</v>
      </c>
      <c r="AD45" s="12" t="s">
        <v>20</v>
      </c>
      <c r="AE45" s="12" t="s">
        <v>20</v>
      </c>
      <c r="AF45" s="12" t="s">
        <v>86</v>
      </c>
      <c r="BB45" s="24">
        <f t="shared" si="6"/>
        <v>23</v>
      </c>
      <c r="BC45" s="24">
        <f t="shared" si="7"/>
        <v>1</v>
      </c>
    </row>
    <row r="46" spans="1:55" x14ac:dyDescent="0.3">
      <c r="A46">
        <v>45</v>
      </c>
      <c r="B46" s="20" t="s">
        <v>64</v>
      </c>
      <c r="C46" s="24">
        <f t="shared" si="4"/>
        <v>2</v>
      </c>
      <c r="D46" s="24">
        <f t="shared" si="5"/>
        <v>25</v>
      </c>
      <c r="E46" s="24"/>
      <c r="F46" s="21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22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3" t="s">
        <v>20</v>
      </c>
      <c r="R46" s="3" t="s">
        <v>20</v>
      </c>
      <c r="S46" s="3" t="s">
        <v>20</v>
      </c>
      <c r="T46" s="3" t="s">
        <v>20</v>
      </c>
      <c r="U46" s="3" t="s">
        <v>20</v>
      </c>
      <c r="V46" s="3" t="s">
        <v>20</v>
      </c>
      <c r="W46" s="3" t="s">
        <v>20</v>
      </c>
      <c r="X46" s="3" t="s">
        <v>20</v>
      </c>
      <c r="Y46" s="8" t="s">
        <v>20</v>
      </c>
      <c r="Z46" s="12" t="s">
        <v>20</v>
      </c>
      <c r="AA46" s="12" t="s">
        <v>20</v>
      </c>
      <c r="AB46" s="12" t="s">
        <v>20</v>
      </c>
      <c r="AC46" s="12" t="s">
        <v>20</v>
      </c>
      <c r="AD46" s="12" t="s">
        <v>20</v>
      </c>
      <c r="AE46" s="12" t="s">
        <v>22</v>
      </c>
      <c r="AF46" s="12" t="s">
        <v>86</v>
      </c>
      <c r="BB46" s="24">
        <f t="shared" si="6"/>
        <v>24</v>
      </c>
      <c r="BC46" s="24">
        <f t="shared" si="7"/>
        <v>1</v>
      </c>
    </row>
    <row r="47" spans="1:55" x14ac:dyDescent="0.3">
      <c r="A47">
        <v>46</v>
      </c>
      <c r="B47" s="20" t="s">
        <v>65</v>
      </c>
      <c r="C47" s="24">
        <f t="shared" si="4"/>
        <v>2</v>
      </c>
      <c r="D47" s="24">
        <f t="shared" si="5"/>
        <v>25</v>
      </c>
      <c r="E47" s="24"/>
      <c r="F47" s="21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22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22</v>
      </c>
      <c r="R47" s="3" t="s">
        <v>20</v>
      </c>
      <c r="S47" s="3" t="s">
        <v>86</v>
      </c>
      <c r="T47" s="3" t="s">
        <v>20</v>
      </c>
      <c r="U47" s="3" t="s">
        <v>20</v>
      </c>
      <c r="V47" s="3" t="s">
        <v>20</v>
      </c>
      <c r="W47" s="3" t="s">
        <v>20</v>
      </c>
      <c r="X47" s="3" t="s">
        <v>20</v>
      </c>
      <c r="Y47" s="8" t="s">
        <v>20</v>
      </c>
      <c r="Z47" s="12" t="s">
        <v>20</v>
      </c>
      <c r="AA47" s="12" t="s">
        <v>20</v>
      </c>
      <c r="AB47" s="12" t="s">
        <v>20</v>
      </c>
      <c r="AC47" s="12" t="s">
        <v>20</v>
      </c>
      <c r="AD47" s="12" t="s">
        <v>20</v>
      </c>
      <c r="AE47" s="12" t="s">
        <v>20</v>
      </c>
      <c r="AF47" s="12" t="s">
        <v>20</v>
      </c>
      <c r="BB47" s="24">
        <f t="shared" si="6"/>
        <v>24</v>
      </c>
      <c r="BC47" s="24">
        <f t="shared" si="7"/>
        <v>1</v>
      </c>
    </row>
    <row r="48" spans="1:55" x14ac:dyDescent="0.3">
      <c r="A48">
        <v>47</v>
      </c>
      <c r="B48" s="20" t="s">
        <v>66</v>
      </c>
      <c r="C48" s="24">
        <f t="shared" si="4"/>
        <v>0</v>
      </c>
      <c r="D48" s="24">
        <f t="shared" si="5"/>
        <v>27</v>
      </c>
      <c r="E48" s="24"/>
      <c r="F48" s="21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20</v>
      </c>
      <c r="R48" s="3" t="s">
        <v>20</v>
      </c>
      <c r="S48" s="3" t="s">
        <v>20</v>
      </c>
      <c r="T48" s="3" t="s">
        <v>20</v>
      </c>
      <c r="U48" s="3" t="s">
        <v>20</v>
      </c>
      <c r="V48" s="3" t="s">
        <v>20</v>
      </c>
      <c r="W48" s="3" t="s">
        <v>20</v>
      </c>
      <c r="X48" s="3" t="s">
        <v>20</v>
      </c>
      <c r="Y48" s="8" t="s">
        <v>20</v>
      </c>
      <c r="Z48" s="12" t="s">
        <v>20</v>
      </c>
      <c r="AA48" s="12" t="s">
        <v>20</v>
      </c>
      <c r="AB48" s="12" t="s">
        <v>20</v>
      </c>
      <c r="AC48" s="12" t="s">
        <v>20</v>
      </c>
      <c r="AD48" s="12" t="s">
        <v>20</v>
      </c>
      <c r="AE48" s="12" t="s">
        <v>20</v>
      </c>
      <c r="AF48" s="12" t="s">
        <v>20</v>
      </c>
      <c r="BB48" s="24">
        <f t="shared" si="6"/>
        <v>27</v>
      </c>
      <c r="BC48" s="24">
        <f t="shared" si="7"/>
        <v>0</v>
      </c>
    </row>
    <row r="49" spans="1:55" x14ac:dyDescent="0.3">
      <c r="A49">
        <v>48</v>
      </c>
      <c r="B49" s="20" t="s">
        <v>67</v>
      </c>
      <c r="C49" s="24">
        <f t="shared" si="4"/>
        <v>0</v>
      </c>
      <c r="D49" s="24">
        <f t="shared" si="5"/>
        <v>27</v>
      </c>
      <c r="E49" s="24"/>
      <c r="F49" s="21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3" t="s">
        <v>20</v>
      </c>
      <c r="R49" s="3" t="s">
        <v>20</v>
      </c>
      <c r="S49" s="3" t="s">
        <v>20</v>
      </c>
      <c r="T49" s="3" t="s">
        <v>20</v>
      </c>
      <c r="U49" s="3" t="s">
        <v>20</v>
      </c>
      <c r="V49" s="3" t="s">
        <v>20</v>
      </c>
      <c r="W49" s="3" t="s">
        <v>86</v>
      </c>
      <c r="X49" s="3" t="s">
        <v>20</v>
      </c>
      <c r="Y49" s="8" t="s">
        <v>20</v>
      </c>
      <c r="Z49" s="12" t="s">
        <v>20</v>
      </c>
      <c r="AA49" s="12" t="s">
        <v>20</v>
      </c>
      <c r="AB49" s="12" t="s">
        <v>20</v>
      </c>
      <c r="AC49" s="12" t="s">
        <v>20</v>
      </c>
      <c r="AD49" s="12" t="s">
        <v>86</v>
      </c>
      <c r="AE49" s="12" t="s">
        <v>20</v>
      </c>
      <c r="AF49" s="12" t="s">
        <v>20</v>
      </c>
      <c r="BB49" s="24">
        <f t="shared" si="6"/>
        <v>25</v>
      </c>
      <c r="BC49" s="24">
        <f t="shared" si="7"/>
        <v>2</v>
      </c>
    </row>
    <row r="50" spans="1:55" x14ac:dyDescent="0.3">
      <c r="A50">
        <v>49</v>
      </c>
      <c r="B50" s="20" t="s">
        <v>68</v>
      </c>
      <c r="C50" s="24">
        <f t="shared" si="4"/>
        <v>5</v>
      </c>
      <c r="D50" s="24">
        <f t="shared" si="5"/>
        <v>22</v>
      </c>
      <c r="E50" s="24"/>
      <c r="F50" s="21" t="s">
        <v>20</v>
      </c>
      <c r="G50" s="3" t="s">
        <v>20</v>
      </c>
      <c r="H50" s="3" t="s">
        <v>20</v>
      </c>
      <c r="I50" s="3" t="s">
        <v>20</v>
      </c>
      <c r="J50" s="3" t="s">
        <v>22</v>
      </c>
      <c r="K50" s="3" t="s">
        <v>22</v>
      </c>
      <c r="L50" s="3" t="s">
        <v>22</v>
      </c>
      <c r="M50" s="3" t="s">
        <v>20</v>
      </c>
      <c r="N50" s="3" t="s">
        <v>20</v>
      </c>
      <c r="O50" s="3" t="s">
        <v>20</v>
      </c>
      <c r="P50" s="3" t="s">
        <v>22</v>
      </c>
      <c r="Q50" s="3" t="s">
        <v>20</v>
      </c>
      <c r="R50" s="3" t="s">
        <v>20</v>
      </c>
      <c r="S50" s="3" t="s">
        <v>20</v>
      </c>
      <c r="T50" s="3" t="s">
        <v>20</v>
      </c>
      <c r="U50" s="3" t="s">
        <v>22</v>
      </c>
      <c r="V50" s="3" t="s">
        <v>20</v>
      </c>
      <c r="W50" s="3" t="s">
        <v>20</v>
      </c>
      <c r="X50" s="3" t="s">
        <v>20</v>
      </c>
      <c r="Y50" s="8" t="s">
        <v>20</v>
      </c>
      <c r="Z50" s="12" t="s">
        <v>20</v>
      </c>
      <c r="AA50" s="12" t="s">
        <v>20</v>
      </c>
      <c r="AB50" s="12" t="s">
        <v>20</v>
      </c>
      <c r="AC50" s="12" t="s">
        <v>20</v>
      </c>
      <c r="AD50" s="12" t="s">
        <v>20</v>
      </c>
      <c r="AE50" s="12" t="s">
        <v>20</v>
      </c>
      <c r="AF50" s="12" t="s">
        <v>20</v>
      </c>
      <c r="BB50" s="24">
        <f t="shared" si="6"/>
        <v>22</v>
      </c>
      <c r="BC50" s="24">
        <f t="shared" si="7"/>
        <v>0</v>
      </c>
    </row>
    <row r="51" spans="1:55" x14ac:dyDescent="0.3">
      <c r="A51">
        <v>50</v>
      </c>
      <c r="B51" s="20" t="s">
        <v>69</v>
      </c>
      <c r="C51" s="24">
        <f t="shared" si="4"/>
        <v>7</v>
      </c>
      <c r="D51" s="24">
        <f t="shared" si="5"/>
        <v>20</v>
      </c>
      <c r="E51" s="24"/>
      <c r="F51" s="21" t="s">
        <v>20</v>
      </c>
      <c r="G51" s="3" t="s">
        <v>22</v>
      </c>
      <c r="H51" s="3" t="s">
        <v>20</v>
      </c>
      <c r="I51" s="3" t="s">
        <v>22</v>
      </c>
      <c r="J51" s="3" t="s">
        <v>20</v>
      </c>
      <c r="K51" s="3" t="s">
        <v>22</v>
      </c>
      <c r="L51" s="3" t="s">
        <v>20</v>
      </c>
      <c r="M51" s="3" t="s">
        <v>20</v>
      </c>
      <c r="N51" s="3" t="s">
        <v>20</v>
      </c>
      <c r="O51" s="3" t="s">
        <v>20</v>
      </c>
      <c r="P51" s="3" t="s">
        <v>22</v>
      </c>
      <c r="Q51" s="3" t="s">
        <v>20</v>
      </c>
      <c r="R51" s="3" t="s">
        <v>20</v>
      </c>
      <c r="S51" s="3" t="s">
        <v>20</v>
      </c>
      <c r="T51" s="3" t="s">
        <v>20</v>
      </c>
      <c r="U51" s="3" t="s">
        <v>20</v>
      </c>
      <c r="V51" s="3" t="s">
        <v>20</v>
      </c>
      <c r="W51" s="3" t="s">
        <v>22</v>
      </c>
      <c r="X51" s="3" t="s">
        <v>22</v>
      </c>
      <c r="Y51" s="8" t="s">
        <v>20</v>
      </c>
      <c r="Z51" s="12" t="s">
        <v>20</v>
      </c>
      <c r="AA51" s="12" t="s">
        <v>20</v>
      </c>
      <c r="AB51" s="12" t="s">
        <v>20</v>
      </c>
      <c r="AC51" s="12" t="s">
        <v>20</v>
      </c>
      <c r="AD51" s="12" t="s">
        <v>20</v>
      </c>
      <c r="AE51" s="12" t="s">
        <v>20</v>
      </c>
      <c r="AF51" s="12" t="s">
        <v>22</v>
      </c>
      <c r="BB51" s="24">
        <f t="shared" si="6"/>
        <v>20</v>
      </c>
      <c r="BC51" s="24">
        <f t="shared" si="7"/>
        <v>0</v>
      </c>
    </row>
    <row r="52" spans="1:55" x14ac:dyDescent="0.3">
      <c r="A52">
        <v>51</v>
      </c>
      <c r="B52" s="20" t="s">
        <v>70</v>
      </c>
      <c r="C52" s="24">
        <f t="shared" si="4"/>
        <v>4</v>
      </c>
      <c r="D52" s="24">
        <f t="shared" si="5"/>
        <v>23</v>
      </c>
      <c r="E52" s="24"/>
      <c r="F52" s="21" t="s">
        <v>20</v>
      </c>
      <c r="G52" s="3" t="s">
        <v>20</v>
      </c>
      <c r="H52" s="3" t="s">
        <v>20</v>
      </c>
      <c r="I52" s="3" t="s">
        <v>20</v>
      </c>
      <c r="J52" s="3" t="s">
        <v>22</v>
      </c>
      <c r="K52" s="3" t="s">
        <v>22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  <c r="R52" s="3" t="s">
        <v>20</v>
      </c>
      <c r="S52" s="3" t="s">
        <v>20</v>
      </c>
      <c r="T52" s="3" t="s">
        <v>20</v>
      </c>
      <c r="U52" s="3" t="s">
        <v>20</v>
      </c>
      <c r="V52" s="3" t="s">
        <v>20</v>
      </c>
      <c r="W52" s="3" t="s">
        <v>20</v>
      </c>
      <c r="X52" s="3" t="s">
        <v>20</v>
      </c>
      <c r="Y52" s="8" t="s">
        <v>20</v>
      </c>
      <c r="Z52" s="12" t="s">
        <v>20</v>
      </c>
      <c r="AA52" s="12" t="s">
        <v>20</v>
      </c>
      <c r="AB52" s="12" t="s">
        <v>20</v>
      </c>
      <c r="AC52" s="12" t="s">
        <v>20</v>
      </c>
      <c r="AD52" s="12" t="s">
        <v>20</v>
      </c>
      <c r="AE52" s="12" t="s">
        <v>22</v>
      </c>
      <c r="AF52" s="12" t="s">
        <v>22</v>
      </c>
      <c r="BB52" s="24">
        <f t="shared" si="6"/>
        <v>23</v>
      </c>
      <c r="BC52" s="24">
        <f t="shared" si="7"/>
        <v>0</v>
      </c>
    </row>
    <row r="53" spans="1:55" x14ac:dyDescent="0.3">
      <c r="A53">
        <v>52</v>
      </c>
      <c r="B53" s="20" t="s">
        <v>71</v>
      </c>
      <c r="C53" s="24">
        <f t="shared" si="4"/>
        <v>1</v>
      </c>
      <c r="D53" s="24">
        <f t="shared" si="5"/>
        <v>26</v>
      </c>
      <c r="E53" s="24"/>
      <c r="F53" s="21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  <c r="R53" s="3" t="s">
        <v>20</v>
      </c>
      <c r="S53" s="3" t="s">
        <v>20</v>
      </c>
      <c r="T53" s="3" t="s">
        <v>20</v>
      </c>
      <c r="U53" s="3" t="s">
        <v>20</v>
      </c>
      <c r="V53" s="3" t="s">
        <v>20</v>
      </c>
      <c r="W53" s="3" t="s">
        <v>20</v>
      </c>
      <c r="X53" s="3" t="s">
        <v>20</v>
      </c>
      <c r="Y53" s="8" t="s">
        <v>22</v>
      </c>
      <c r="Z53" s="12" t="s">
        <v>20</v>
      </c>
      <c r="AA53" s="12" t="s">
        <v>20</v>
      </c>
      <c r="AB53" s="12" t="s">
        <v>20</v>
      </c>
      <c r="AC53" s="12" t="s">
        <v>20</v>
      </c>
      <c r="AD53" s="12" t="s">
        <v>20</v>
      </c>
      <c r="AE53" s="12" t="s">
        <v>20</v>
      </c>
      <c r="AF53" s="12" t="s">
        <v>20</v>
      </c>
      <c r="BB53" s="24">
        <f t="shared" si="6"/>
        <v>26</v>
      </c>
      <c r="BC53" s="24">
        <f t="shared" si="7"/>
        <v>0</v>
      </c>
    </row>
    <row r="54" spans="1:55" x14ac:dyDescent="0.3">
      <c r="A54">
        <v>53</v>
      </c>
      <c r="B54" s="20" t="s">
        <v>72</v>
      </c>
      <c r="C54" s="24">
        <f t="shared" si="4"/>
        <v>0</v>
      </c>
      <c r="D54" s="24">
        <f t="shared" si="5"/>
        <v>27</v>
      </c>
      <c r="E54" s="24"/>
      <c r="F54" s="21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20</v>
      </c>
      <c r="S54" s="3" t="s">
        <v>20</v>
      </c>
      <c r="T54" s="3" t="s">
        <v>20</v>
      </c>
      <c r="U54" s="3" t="s">
        <v>20</v>
      </c>
      <c r="V54" s="3" t="s">
        <v>20</v>
      </c>
      <c r="W54" s="3" t="s">
        <v>20</v>
      </c>
      <c r="X54" s="3" t="s">
        <v>20</v>
      </c>
      <c r="Y54" s="8" t="s">
        <v>20</v>
      </c>
      <c r="Z54" s="12" t="s">
        <v>20</v>
      </c>
      <c r="AA54" s="12" t="s">
        <v>20</v>
      </c>
      <c r="AB54" s="12" t="s">
        <v>20</v>
      </c>
      <c r="AC54" s="12" t="s">
        <v>20</v>
      </c>
      <c r="AD54" s="12" t="s">
        <v>20</v>
      </c>
      <c r="AE54" s="12" t="s">
        <v>20</v>
      </c>
      <c r="AF54" s="12" t="s">
        <v>20</v>
      </c>
      <c r="BB54" s="24">
        <f t="shared" si="6"/>
        <v>27</v>
      </c>
      <c r="BC54" s="24">
        <f t="shared" si="7"/>
        <v>0</v>
      </c>
    </row>
    <row r="55" spans="1:55" x14ac:dyDescent="0.3">
      <c r="A55">
        <v>54</v>
      </c>
      <c r="B55" s="20" t="s">
        <v>73</v>
      </c>
      <c r="C55" s="24">
        <f t="shared" si="4"/>
        <v>5</v>
      </c>
      <c r="D55" s="24">
        <f t="shared" si="5"/>
        <v>22</v>
      </c>
      <c r="E55" s="24"/>
      <c r="F55" s="21" t="s">
        <v>20</v>
      </c>
      <c r="G55" s="3" t="s">
        <v>20</v>
      </c>
      <c r="H55" s="3" t="s">
        <v>20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20</v>
      </c>
      <c r="N55" s="3" t="s">
        <v>20</v>
      </c>
      <c r="O55" s="3" t="s">
        <v>20</v>
      </c>
      <c r="P55" s="3" t="s">
        <v>20</v>
      </c>
      <c r="Q55" s="3" t="s">
        <v>20</v>
      </c>
      <c r="R55" s="3" t="s">
        <v>20</v>
      </c>
      <c r="S55" s="3" t="s">
        <v>20</v>
      </c>
      <c r="T55" s="3" t="s">
        <v>20</v>
      </c>
      <c r="U55" s="3" t="s">
        <v>20</v>
      </c>
      <c r="V55" s="3" t="s">
        <v>20</v>
      </c>
      <c r="W55" s="3" t="s">
        <v>20</v>
      </c>
      <c r="X55" s="3" t="s">
        <v>20</v>
      </c>
      <c r="Y55" s="8" t="s">
        <v>20</v>
      </c>
      <c r="Z55" s="12" t="s">
        <v>20</v>
      </c>
      <c r="AA55" s="12" t="s">
        <v>20</v>
      </c>
      <c r="AB55" s="12" t="s">
        <v>20</v>
      </c>
      <c r="AC55" s="12" t="s">
        <v>20</v>
      </c>
      <c r="AD55" s="12" t="s">
        <v>20</v>
      </c>
      <c r="AE55" s="12" t="s">
        <v>20</v>
      </c>
      <c r="AF55" s="12" t="s">
        <v>22</v>
      </c>
      <c r="BB55" s="24">
        <f t="shared" si="6"/>
        <v>22</v>
      </c>
      <c r="BC55" s="24">
        <f t="shared" si="7"/>
        <v>0</v>
      </c>
    </row>
    <row r="56" spans="1:55" x14ac:dyDescent="0.3">
      <c r="A56">
        <v>55</v>
      </c>
      <c r="B56" s="20" t="s">
        <v>74</v>
      </c>
      <c r="C56" s="24">
        <f t="shared" si="4"/>
        <v>6</v>
      </c>
      <c r="D56" s="24">
        <f t="shared" si="5"/>
        <v>21</v>
      </c>
      <c r="E56" s="24"/>
      <c r="F56" s="21" t="s">
        <v>20</v>
      </c>
      <c r="G56" s="3" t="s">
        <v>22</v>
      </c>
      <c r="H56" s="3" t="s">
        <v>20</v>
      </c>
      <c r="I56" s="3" t="s">
        <v>20</v>
      </c>
      <c r="J56" s="3" t="s">
        <v>20</v>
      </c>
      <c r="K56" s="3" t="s">
        <v>22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3" t="s">
        <v>20</v>
      </c>
      <c r="R56" s="3" t="s">
        <v>20</v>
      </c>
      <c r="S56" s="3" t="s">
        <v>22</v>
      </c>
      <c r="T56" s="3" t="s">
        <v>20</v>
      </c>
      <c r="U56" s="3" t="s">
        <v>20</v>
      </c>
      <c r="V56" s="3" t="s">
        <v>20</v>
      </c>
      <c r="W56" s="3" t="s">
        <v>22</v>
      </c>
      <c r="X56" s="3" t="s">
        <v>20</v>
      </c>
      <c r="Y56" s="8" t="s">
        <v>20</v>
      </c>
      <c r="Z56" s="12" t="s">
        <v>20</v>
      </c>
      <c r="AA56" s="12" t="s">
        <v>20</v>
      </c>
      <c r="AB56" s="12" t="s">
        <v>20</v>
      </c>
      <c r="AC56" s="12" t="s">
        <v>22</v>
      </c>
      <c r="AD56" s="12" t="s">
        <v>22</v>
      </c>
      <c r="AE56" s="12" t="s">
        <v>20</v>
      </c>
      <c r="AF56" s="12" t="s">
        <v>20</v>
      </c>
      <c r="BB56" s="24">
        <f t="shared" si="6"/>
        <v>21</v>
      </c>
      <c r="BC56" s="24">
        <f t="shared" si="7"/>
        <v>0</v>
      </c>
    </row>
    <row r="57" spans="1:55" x14ac:dyDescent="0.3">
      <c r="A57">
        <v>56</v>
      </c>
      <c r="B57" s="20" t="s">
        <v>75</v>
      </c>
      <c r="C57" s="24">
        <f t="shared" si="4"/>
        <v>3</v>
      </c>
      <c r="D57" s="24">
        <f t="shared" si="5"/>
        <v>24</v>
      </c>
      <c r="E57" s="24"/>
      <c r="F57" s="21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3" t="s">
        <v>20</v>
      </c>
      <c r="N57" s="3" t="s">
        <v>20</v>
      </c>
      <c r="O57" s="3" t="s">
        <v>20</v>
      </c>
      <c r="P57" s="3" t="s">
        <v>20</v>
      </c>
      <c r="Q57" s="3" t="s">
        <v>20</v>
      </c>
      <c r="R57" s="3" t="s">
        <v>20</v>
      </c>
      <c r="S57" s="3" t="s">
        <v>20</v>
      </c>
      <c r="T57" s="3" t="s">
        <v>20</v>
      </c>
      <c r="U57" s="3" t="s">
        <v>20</v>
      </c>
      <c r="V57" s="3" t="s">
        <v>22</v>
      </c>
      <c r="W57" s="3" t="s">
        <v>20</v>
      </c>
      <c r="X57" s="3" t="s">
        <v>20</v>
      </c>
      <c r="Y57" s="8" t="s">
        <v>20</v>
      </c>
      <c r="Z57" s="12" t="s">
        <v>20</v>
      </c>
      <c r="AA57" s="12" t="s">
        <v>20</v>
      </c>
      <c r="AB57" s="12" t="s">
        <v>20</v>
      </c>
      <c r="AC57" s="12" t="s">
        <v>22</v>
      </c>
      <c r="AD57" s="12" t="s">
        <v>22</v>
      </c>
      <c r="AE57" s="12" t="s">
        <v>20</v>
      </c>
      <c r="AF57" s="12" t="s">
        <v>20</v>
      </c>
      <c r="BB57" s="24">
        <f t="shared" si="6"/>
        <v>24</v>
      </c>
      <c r="BC57" s="24">
        <f t="shared" si="7"/>
        <v>0</v>
      </c>
    </row>
    <row r="58" spans="1:55" x14ac:dyDescent="0.3">
      <c r="A58">
        <v>57</v>
      </c>
      <c r="B58" s="20" t="s">
        <v>76</v>
      </c>
      <c r="C58" s="24">
        <f t="shared" si="4"/>
        <v>4</v>
      </c>
      <c r="D58" s="24">
        <f t="shared" si="5"/>
        <v>23</v>
      </c>
      <c r="E58" s="24"/>
      <c r="F58" s="21" t="s">
        <v>20</v>
      </c>
      <c r="G58" s="3" t="s">
        <v>22</v>
      </c>
      <c r="H58" s="3" t="s">
        <v>20</v>
      </c>
      <c r="I58" s="3" t="s">
        <v>20</v>
      </c>
      <c r="J58" s="3" t="s">
        <v>20</v>
      </c>
      <c r="K58" s="3" t="s">
        <v>22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  <c r="R58" s="3" t="s">
        <v>20</v>
      </c>
      <c r="S58" s="3" t="s">
        <v>20</v>
      </c>
      <c r="T58" s="3" t="s">
        <v>20</v>
      </c>
      <c r="U58" s="3" t="s">
        <v>22</v>
      </c>
      <c r="V58" s="3" t="s">
        <v>20</v>
      </c>
      <c r="W58" s="3" t="s">
        <v>20</v>
      </c>
      <c r="X58" s="3" t="s">
        <v>20</v>
      </c>
      <c r="Y58" s="8" t="s">
        <v>20</v>
      </c>
      <c r="Z58" s="12" t="s">
        <v>20</v>
      </c>
      <c r="AA58" s="12" t="s">
        <v>20</v>
      </c>
      <c r="AB58" s="12" t="s">
        <v>20</v>
      </c>
      <c r="AC58" s="12" t="s">
        <v>20</v>
      </c>
      <c r="AD58" s="12" t="s">
        <v>20</v>
      </c>
      <c r="AE58" s="12" t="s">
        <v>22</v>
      </c>
      <c r="AF58" s="12" t="s">
        <v>20</v>
      </c>
      <c r="BB58" s="24">
        <f t="shared" si="6"/>
        <v>23</v>
      </c>
      <c r="BC58" s="24">
        <f t="shared" si="7"/>
        <v>0</v>
      </c>
    </row>
    <row r="59" spans="1:55" x14ac:dyDescent="0.3">
      <c r="A59">
        <v>58</v>
      </c>
      <c r="B59" s="20" t="s">
        <v>77</v>
      </c>
      <c r="C59" s="24">
        <f t="shared" si="4"/>
        <v>1</v>
      </c>
      <c r="D59" s="24">
        <f t="shared" si="5"/>
        <v>26</v>
      </c>
      <c r="E59" s="24"/>
      <c r="F59" s="21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22</v>
      </c>
      <c r="O59" s="3" t="s">
        <v>20</v>
      </c>
      <c r="P59" s="3" t="s">
        <v>20</v>
      </c>
      <c r="Q59" s="3" t="s">
        <v>20</v>
      </c>
      <c r="R59" s="3" t="s">
        <v>20</v>
      </c>
      <c r="S59" s="3" t="s">
        <v>20</v>
      </c>
      <c r="T59" s="3" t="s">
        <v>20</v>
      </c>
      <c r="U59" s="3" t="s">
        <v>20</v>
      </c>
      <c r="V59" s="3" t="s">
        <v>20</v>
      </c>
      <c r="W59" s="3" t="s">
        <v>20</v>
      </c>
      <c r="X59" s="3" t="s">
        <v>20</v>
      </c>
      <c r="Y59" s="8" t="s">
        <v>20</v>
      </c>
      <c r="Z59" s="12" t="s">
        <v>20</v>
      </c>
      <c r="AA59" s="12" t="s">
        <v>20</v>
      </c>
      <c r="AB59" s="12" t="s">
        <v>20</v>
      </c>
      <c r="AC59" s="12" t="s">
        <v>20</v>
      </c>
      <c r="AD59" s="12" t="s">
        <v>20</v>
      </c>
      <c r="AE59" s="12" t="s">
        <v>20</v>
      </c>
      <c r="AF59" s="12" t="s">
        <v>20</v>
      </c>
      <c r="BB59" s="24">
        <f t="shared" si="6"/>
        <v>26</v>
      </c>
      <c r="BC59" s="24">
        <f t="shared" si="7"/>
        <v>0</v>
      </c>
    </row>
    <row r="60" spans="1:55" x14ac:dyDescent="0.3">
      <c r="A60">
        <v>59</v>
      </c>
      <c r="B60" s="20" t="s">
        <v>78</v>
      </c>
      <c r="C60" s="24">
        <f t="shared" si="4"/>
        <v>6</v>
      </c>
      <c r="D60" s="24">
        <f t="shared" si="5"/>
        <v>21</v>
      </c>
      <c r="E60" s="24"/>
      <c r="F60" s="21" t="s">
        <v>20</v>
      </c>
      <c r="G60" s="3" t="s">
        <v>20</v>
      </c>
      <c r="H60" s="3" t="s">
        <v>20</v>
      </c>
      <c r="I60" s="3" t="s">
        <v>20</v>
      </c>
      <c r="J60" s="3" t="s">
        <v>22</v>
      </c>
      <c r="K60" s="3" t="s">
        <v>22</v>
      </c>
      <c r="L60" s="3" t="s">
        <v>20</v>
      </c>
      <c r="M60" s="3" t="s">
        <v>20</v>
      </c>
      <c r="N60" s="3" t="s">
        <v>22</v>
      </c>
      <c r="O60" s="3" t="s">
        <v>20</v>
      </c>
      <c r="P60" s="3" t="s">
        <v>20</v>
      </c>
      <c r="Q60" s="3" t="s">
        <v>22</v>
      </c>
      <c r="R60" s="3" t="s">
        <v>20</v>
      </c>
      <c r="S60" s="3" t="s">
        <v>20</v>
      </c>
      <c r="T60" s="3" t="s">
        <v>20</v>
      </c>
      <c r="U60" s="3" t="s">
        <v>20</v>
      </c>
      <c r="V60" s="3" t="s">
        <v>20</v>
      </c>
      <c r="W60" s="3" t="s">
        <v>22</v>
      </c>
      <c r="X60" s="3" t="s">
        <v>22</v>
      </c>
      <c r="Y60" s="8" t="s">
        <v>20</v>
      </c>
      <c r="Z60" s="12" t="s">
        <v>20</v>
      </c>
      <c r="AA60" s="12" t="s">
        <v>20</v>
      </c>
      <c r="AB60" s="12" t="s">
        <v>20</v>
      </c>
      <c r="AC60" s="12" t="s">
        <v>20</v>
      </c>
      <c r="AD60" s="12" t="s">
        <v>86</v>
      </c>
      <c r="AE60" s="12" t="s">
        <v>20</v>
      </c>
      <c r="AF60" s="12" t="s">
        <v>20</v>
      </c>
      <c r="BB60" s="24">
        <f t="shared" si="6"/>
        <v>20</v>
      </c>
      <c r="BC60" s="24">
        <f t="shared" si="7"/>
        <v>1</v>
      </c>
    </row>
    <row r="61" spans="1:55" x14ac:dyDescent="0.3">
      <c r="A61">
        <v>60</v>
      </c>
      <c r="B61" s="20" t="s">
        <v>79</v>
      </c>
      <c r="C61" s="24">
        <f t="shared" si="4"/>
        <v>9</v>
      </c>
      <c r="D61" s="24">
        <f t="shared" si="5"/>
        <v>18</v>
      </c>
      <c r="E61" s="24"/>
      <c r="F61" s="21" t="s">
        <v>20</v>
      </c>
      <c r="G61" s="3" t="s">
        <v>20</v>
      </c>
      <c r="H61" s="3" t="s">
        <v>20</v>
      </c>
      <c r="I61" s="3" t="s">
        <v>20</v>
      </c>
      <c r="J61" s="3" t="s">
        <v>22</v>
      </c>
      <c r="K61" s="3" t="s">
        <v>22</v>
      </c>
      <c r="L61" s="3" t="s">
        <v>22</v>
      </c>
      <c r="M61" s="3" t="s">
        <v>20</v>
      </c>
      <c r="N61" s="3" t="s">
        <v>20</v>
      </c>
      <c r="O61" s="3" t="s">
        <v>22</v>
      </c>
      <c r="P61" s="3" t="s">
        <v>22</v>
      </c>
      <c r="Q61" s="3" t="s">
        <v>22</v>
      </c>
      <c r="R61" s="3" t="s">
        <v>22</v>
      </c>
      <c r="S61" s="3" t="s">
        <v>20</v>
      </c>
      <c r="T61" s="3" t="s">
        <v>20</v>
      </c>
      <c r="U61" s="3" t="s">
        <v>22</v>
      </c>
      <c r="V61" s="3" t="s">
        <v>20</v>
      </c>
      <c r="W61" s="3" t="s">
        <v>20</v>
      </c>
      <c r="X61" s="3" t="s">
        <v>22</v>
      </c>
      <c r="Y61" s="8" t="s">
        <v>20</v>
      </c>
      <c r="Z61" s="12" t="s">
        <v>20</v>
      </c>
      <c r="AA61" s="12" t="s">
        <v>20</v>
      </c>
      <c r="AB61" s="12" t="s">
        <v>20</v>
      </c>
      <c r="AC61" s="12" t="s">
        <v>20</v>
      </c>
      <c r="AD61" s="12" t="s">
        <v>20</v>
      </c>
      <c r="AE61" s="12" t="s">
        <v>20</v>
      </c>
      <c r="AF61" s="12" t="s">
        <v>20</v>
      </c>
      <c r="BB61" s="24">
        <f t="shared" si="6"/>
        <v>18</v>
      </c>
      <c r="BC61" s="24">
        <f t="shared" si="7"/>
        <v>0</v>
      </c>
    </row>
    <row r="62" spans="1:55" x14ac:dyDescent="0.3">
      <c r="A62">
        <v>301</v>
      </c>
      <c r="B62" s="20" t="s">
        <v>80</v>
      </c>
      <c r="C62" s="24">
        <f t="shared" si="4"/>
        <v>4</v>
      </c>
      <c r="D62" s="24">
        <f t="shared" si="5"/>
        <v>23</v>
      </c>
      <c r="E62" s="24"/>
      <c r="F62" s="21" t="s">
        <v>20</v>
      </c>
      <c r="G62" s="3" t="s">
        <v>20</v>
      </c>
      <c r="H62" s="3" t="s">
        <v>20</v>
      </c>
      <c r="I62" s="3" t="s">
        <v>20</v>
      </c>
      <c r="J62" s="3" t="s">
        <v>22</v>
      </c>
      <c r="K62" s="3" t="s">
        <v>22</v>
      </c>
      <c r="L62" s="3" t="s">
        <v>20</v>
      </c>
      <c r="M62" s="3" t="s">
        <v>20</v>
      </c>
      <c r="N62" s="3" t="s">
        <v>20</v>
      </c>
      <c r="O62" s="3" t="s">
        <v>20</v>
      </c>
      <c r="P62" s="3" t="s">
        <v>20</v>
      </c>
      <c r="Q62" s="3" t="s">
        <v>20</v>
      </c>
      <c r="R62" s="3" t="s">
        <v>20</v>
      </c>
      <c r="S62" s="3" t="s">
        <v>20</v>
      </c>
      <c r="T62" s="3" t="s">
        <v>22</v>
      </c>
      <c r="U62" s="3" t="s">
        <v>20</v>
      </c>
      <c r="V62" s="3" t="s">
        <v>20</v>
      </c>
      <c r="W62" s="3" t="s">
        <v>20</v>
      </c>
      <c r="X62" s="3" t="s">
        <v>22</v>
      </c>
      <c r="Y62" s="8" t="s">
        <v>20</v>
      </c>
      <c r="Z62" s="12" t="s">
        <v>20</v>
      </c>
      <c r="AA62" s="12" t="s">
        <v>20</v>
      </c>
      <c r="AB62" s="12" t="s">
        <v>20</v>
      </c>
      <c r="AC62" s="12" t="s">
        <v>20</v>
      </c>
      <c r="AD62" s="12" t="s">
        <v>20</v>
      </c>
      <c r="AE62" s="12" t="s">
        <v>20</v>
      </c>
      <c r="AF62" s="12" t="s">
        <v>20</v>
      </c>
      <c r="BB62" s="24">
        <f t="shared" si="6"/>
        <v>23</v>
      </c>
      <c r="BC62" s="24">
        <f t="shared" si="7"/>
        <v>0</v>
      </c>
    </row>
    <row r="63" spans="1:55" x14ac:dyDescent="0.3">
      <c r="A63">
        <v>302</v>
      </c>
      <c r="B63" s="20" t="s">
        <v>81</v>
      </c>
      <c r="C63" s="24">
        <f t="shared" si="4"/>
        <v>9</v>
      </c>
      <c r="D63" s="24">
        <f t="shared" si="5"/>
        <v>18</v>
      </c>
      <c r="E63" s="24"/>
      <c r="F63" s="21" t="s">
        <v>22</v>
      </c>
      <c r="G63" s="3" t="s">
        <v>22</v>
      </c>
      <c r="H63" s="3" t="s">
        <v>22</v>
      </c>
      <c r="I63" s="3" t="s">
        <v>20</v>
      </c>
      <c r="J63" s="3" t="s">
        <v>20</v>
      </c>
      <c r="K63" s="3" t="s">
        <v>22</v>
      </c>
      <c r="L63" s="3" t="s">
        <v>20</v>
      </c>
      <c r="M63" s="3" t="s">
        <v>22</v>
      </c>
      <c r="N63" s="3" t="s">
        <v>20</v>
      </c>
      <c r="O63" s="3" t="s">
        <v>20</v>
      </c>
      <c r="P63" s="3" t="s">
        <v>20</v>
      </c>
      <c r="Q63" s="3" t="s">
        <v>20</v>
      </c>
      <c r="R63" s="3" t="s">
        <v>22</v>
      </c>
      <c r="S63" s="3" t="s">
        <v>20</v>
      </c>
      <c r="T63" s="3" t="s">
        <v>20</v>
      </c>
      <c r="U63" s="3" t="s">
        <v>20</v>
      </c>
      <c r="V63" s="3" t="s">
        <v>20</v>
      </c>
      <c r="W63" s="3" t="s">
        <v>22</v>
      </c>
      <c r="X63" s="3" t="s">
        <v>20</v>
      </c>
      <c r="Y63" s="8" t="s">
        <v>20</v>
      </c>
      <c r="Z63" s="12" t="s">
        <v>20</v>
      </c>
      <c r="AA63" s="12" t="s">
        <v>20</v>
      </c>
      <c r="AB63" s="12" t="s">
        <v>20</v>
      </c>
      <c r="AC63" s="12" t="s">
        <v>20</v>
      </c>
      <c r="AD63" s="12" t="s">
        <v>20</v>
      </c>
      <c r="AE63" s="12" t="s">
        <v>22</v>
      </c>
      <c r="AF63" s="12" t="s">
        <v>22</v>
      </c>
      <c r="BB63" s="24">
        <f t="shared" si="6"/>
        <v>18</v>
      </c>
      <c r="BC63" s="24">
        <f t="shared" si="7"/>
        <v>0</v>
      </c>
    </row>
    <row r="64" spans="1:55" x14ac:dyDescent="0.3">
      <c r="A64">
        <v>303</v>
      </c>
      <c r="B64" s="20" t="s">
        <v>82</v>
      </c>
      <c r="C64" s="24">
        <f t="shared" si="4"/>
        <v>13</v>
      </c>
      <c r="D64" s="24">
        <f t="shared" si="5"/>
        <v>14</v>
      </c>
      <c r="E64" s="24"/>
      <c r="F64" s="21" t="s">
        <v>22</v>
      </c>
      <c r="G64" s="3" t="s">
        <v>20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20</v>
      </c>
      <c r="N64" s="3" t="s">
        <v>20</v>
      </c>
      <c r="O64" s="3" t="s">
        <v>20</v>
      </c>
      <c r="P64" s="3" t="s">
        <v>20</v>
      </c>
      <c r="Q64" s="3" t="s">
        <v>22</v>
      </c>
      <c r="R64" s="3" t="s">
        <v>22</v>
      </c>
      <c r="S64" s="3" t="s">
        <v>22</v>
      </c>
      <c r="T64" s="3" t="s">
        <v>22</v>
      </c>
      <c r="U64" s="3" t="s">
        <v>20</v>
      </c>
      <c r="V64" s="3" t="s">
        <v>20</v>
      </c>
      <c r="W64" s="3" t="s">
        <v>20</v>
      </c>
      <c r="X64" s="3" t="s">
        <v>22</v>
      </c>
      <c r="Y64" s="8" t="s">
        <v>22</v>
      </c>
      <c r="Z64" s="12" t="s">
        <v>20</v>
      </c>
      <c r="AA64" s="12" t="s">
        <v>20</v>
      </c>
      <c r="AB64" s="12" t="s">
        <v>20</v>
      </c>
      <c r="AC64" s="12" t="s">
        <v>20</v>
      </c>
      <c r="AD64" s="12" t="s">
        <v>20</v>
      </c>
      <c r="AE64" s="12" t="s">
        <v>20</v>
      </c>
      <c r="AF64" s="12" t="s">
        <v>22</v>
      </c>
      <c r="AG64" s="25"/>
      <c r="BB64" s="24">
        <f t="shared" si="6"/>
        <v>14</v>
      </c>
      <c r="BC64" s="24">
        <f t="shared" si="7"/>
        <v>0</v>
      </c>
    </row>
    <row r="65" spans="1:55" x14ac:dyDescent="0.3">
      <c r="A65">
        <v>304</v>
      </c>
      <c r="B65" s="20" t="s">
        <v>83</v>
      </c>
      <c r="C65" s="24">
        <f t="shared" si="4"/>
        <v>9</v>
      </c>
      <c r="D65" s="24">
        <f t="shared" si="5"/>
        <v>18</v>
      </c>
      <c r="E65" s="24"/>
      <c r="F65" s="21" t="s">
        <v>22</v>
      </c>
      <c r="G65" s="3" t="s">
        <v>22</v>
      </c>
      <c r="H65" s="3" t="s">
        <v>22</v>
      </c>
      <c r="I65" s="3" t="s">
        <v>20</v>
      </c>
      <c r="J65" s="3" t="s">
        <v>20</v>
      </c>
      <c r="K65" s="3" t="s">
        <v>22</v>
      </c>
      <c r="L65" s="3" t="s">
        <v>20</v>
      </c>
      <c r="M65" s="3" t="s">
        <v>22</v>
      </c>
      <c r="N65" s="3" t="s">
        <v>20</v>
      </c>
      <c r="O65" s="3" t="s">
        <v>20</v>
      </c>
      <c r="P65" s="3" t="s">
        <v>20</v>
      </c>
      <c r="Q65" s="3" t="s">
        <v>20</v>
      </c>
      <c r="R65" s="3" t="s">
        <v>22</v>
      </c>
      <c r="S65" s="3" t="s">
        <v>20</v>
      </c>
      <c r="T65" s="3" t="s">
        <v>20</v>
      </c>
      <c r="U65" s="3" t="s">
        <v>20</v>
      </c>
      <c r="V65" s="3" t="s">
        <v>20</v>
      </c>
      <c r="W65" s="3" t="s">
        <v>22</v>
      </c>
      <c r="X65" s="3" t="s">
        <v>20</v>
      </c>
      <c r="Y65" s="8" t="s">
        <v>20</v>
      </c>
      <c r="Z65" s="12" t="s">
        <v>20</v>
      </c>
      <c r="AA65" s="12" t="s">
        <v>20</v>
      </c>
      <c r="AB65" s="12" t="s">
        <v>20</v>
      </c>
      <c r="AC65" s="12" t="s">
        <v>20</v>
      </c>
      <c r="AD65" s="12" t="s">
        <v>20</v>
      </c>
      <c r="AE65" s="12" t="s">
        <v>22</v>
      </c>
      <c r="AF65" s="12" t="s">
        <v>22</v>
      </c>
      <c r="BB65" s="24">
        <f t="shared" si="6"/>
        <v>18</v>
      </c>
      <c r="BC65" s="24">
        <f t="shared" si="7"/>
        <v>0</v>
      </c>
    </row>
    <row r="66" spans="1:55" x14ac:dyDescent="0.3">
      <c r="B66" s="2"/>
      <c r="C66" s="23"/>
      <c r="D66" s="23"/>
      <c r="E66" s="23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8"/>
      <c r="Z66" s="13"/>
      <c r="AA66" s="13"/>
      <c r="AB66" s="13"/>
      <c r="AC66" s="13"/>
      <c r="AD66" s="13"/>
      <c r="AE66" s="13"/>
      <c r="AF66" s="13"/>
      <c r="BB66" s="26"/>
    </row>
    <row r="67" spans="1:55" x14ac:dyDescent="0.3">
      <c r="B67" s="19" t="s">
        <v>88</v>
      </c>
      <c r="C67" s="19"/>
      <c r="D67" s="19"/>
      <c r="E67" s="14"/>
      <c r="F67" s="7">
        <f t="shared" ref="F67:AF67" si="8">COUNTIF(F2:F65,"P")</f>
        <v>59</v>
      </c>
      <c r="G67" s="7">
        <f t="shared" si="8"/>
        <v>55</v>
      </c>
      <c r="H67" s="7">
        <f t="shared" si="8"/>
        <v>57</v>
      </c>
      <c r="I67" s="7">
        <f t="shared" si="8"/>
        <v>59</v>
      </c>
      <c r="J67" s="7">
        <f t="shared" si="8"/>
        <v>48</v>
      </c>
      <c r="K67" s="7">
        <f t="shared" si="8"/>
        <v>31</v>
      </c>
      <c r="L67" s="7">
        <f t="shared" si="8"/>
        <v>52</v>
      </c>
      <c r="M67" s="7">
        <f t="shared" si="8"/>
        <v>61</v>
      </c>
      <c r="N67" s="7">
        <f t="shared" si="8"/>
        <v>60</v>
      </c>
      <c r="O67" s="7">
        <f t="shared" si="8"/>
        <v>62</v>
      </c>
      <c r="P67" s="7">
        <f t="shared" si="8"/>
        <v>53</v>
      </c>
      <c r="Q67" s="7">
        <f t="shared" si="8"/>
        <v>58</v>
      </c>
      <c r="R67" s="7">
        <f t="shared" si="8"/>
        <v>55</v>
      </c>
      <c r="S67" s="7">
        <f t="shared" si="8"/>
        <v>57</v>
      </c>
      <c r="T67" s="7">
        <f t="shared" si="8"/>
        <v>59</v>
      </c>
      <c r="U67" s="7">
        <f t="shared" si="8"/>
        <v>54</v>
      </c>
      <c r="V67" s="7">
        <f t="shared" si="8"/>
        <v>57</v>
      </c>
      <c r="W67" s="7">
        <f t="shared" si="8"/>
        <v>53</v>
      </c>
      <c r="X67" s="7">
        <f t="shared" si="8"/>
        <v>56</v>
      </c>
      <c r="Y67" s="17">
        <f t="shared" si="8"/>
        <v>57</v>
      </c>
      <c r="Z67" s="17">
        <f t="shared" si="8"/>
        <v>63</v>
      </c>
      <c r="AA67" s="17">
        <f t="shared" si="8"/>
        <v>63</v>
      </c>
      <c r="AB67" s="17">
        <f t="shared" si="8"/>
        <v>63</v>
      </c>
      <c r="AC67" s="17">
        <f t="shared" si="8"/>
        <v>60</v>
      </c>
      <c r="AD67" s="17">
        <f t="shared" si="8"/>
        <v>56</v>
      </c>
      <c r="AE67" s="17">
        <f t="shared" si="8"/>
        <v>48</v>
      </c>
      <c r="AF67" s="17">
        <f t="shared" si="8"/>
        <v>45</v>
      </c>
      <c r="AG67" s="16"/>
      <c r="BB67" s="26"/>
    </row>
    <row r="68" spans="1:55" x14ac:dyDescent="0.3">
      <c r="B68" s="19" t="s">
        <v>89</v>
      </c>
      <c r="C68" s="19"/>
      <c r="D68" s="19"/>
      <c r="E68" s="14"/>
      <c r="F68" s="14">
        <f t="shared" ref="F68:AF68" si="9">COUNTIF(F2:F65,"OD")</f>
        <v>1</v>
      </c>
      <c r="G68" s="14">
        <f t="shared" si="9"/>
        <v>2</v>
      </c>
      <c r="H68" s="14">
        <f t="shared" si="9"/>
        <v>3</v>
      </c>
      <c r="I68" s="14">
        <f t="shared" si="9"/>
        <v>1</v>
      </c>
      <c r="J68" s="14">
        <f t="shared" si="9"/>
        <v>1</v>
      </c>
      <c r="K68" s="14">
        <f t="shared" si="9"/>
        <v>4</v>
      </c>
      <c r="L68" s="14">
        <f t="shared" si="9"/>
        <v>1</v>
      </c>
      <c r="M68" s="14">
        <f t="shared" si="9"/>
        <v>1</v>
      </c>
      <c r="N68" s="14">
        <f t="shared" si="9"/>
        <v>1</v>
      </c>
      <c r="O68" s="14">
        <f t="shared" si="9"/>
        <v>1</v>
      </c>
      <c r="P68" s="14">
        <f t="shared" si="9"/>
        <v>1</v>
      </c>
      <c r="Q68" s="14">
        <f t="shared" si="9"/>
        <v>1</v>
      </c>
      <c r="R68" s="14">
        <f t="shared" si="9"/>
        <v>1</v>
      </c>
      <c r="S68" s="14">
        <f t="shared" si="9"/>
        <v>2</v>
      </c>
      <c r="T68" s="14">
        <f t="shared" si="9"/>
        <v>1</v>
      </c>
      <c r="U68" s="14">
        <f t="shared" si="9"/>
        <v>1</v>
      </c>
      <c r="V68" s="14">
        <f t="shared" si="9"/>
        <v>1</v>
      </c>
      <c r="W68" s="14">
        <f t="shared" si="9"/>
        <v>2</v>
      </c>
      <c r="X68" s="14">
        <f t="shared" si="9"/>
        <v>1</v>
      </c>
      <c r="Y68" s="15">
        <f t="shared" si="9"/>
        <v>1</v>
      </c>
      <c r="Z68" s="15">
        <f t="shared" si="9"/>
        <v>1</v>
      </c>
      <c r="AA68" s="15">
        <f t="shared" si="9"/>
        <v>1</v>
      </c>
      <c r="AB68" s="15">
        <f t="shared" si="9"/>
        <v>1</v>
      </c>
      <c r="AC68" s="15">
        <f t="shared" si="9"/>
        <v>1</v>
      </c>
      <c r="AD68" s="15">
        <f t="shared" si="9"/>
        <v>4</v>
      </c>
      <c r="AE68" s="15">
        <f t="shared" si="9"/>
        <v>1</v>
      </c>
      <c r="AF68" s="15">
        <f t="shared" si="9"/>
        <v>5</v>
      </c>
      <c r="AG68" s="16"/>
      <c r="BB68" s="26"/>
    </row>
    <row r="69" spans="1:55" x14ac:dyDescent="0.3">
      <c r="B69" s="2"/>
      <c r="C69" s="2"/>
      <c r="D69" s="2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5"/>
      <c r="Z69" s="18"/>
      <c r="AA69" s="18"/>
      <c r="AB69" s="18"/>
      <c r="AC69" s="18"/>
      <c r="AD69" s="18"/>
      <c r="AE69" s="18"/>
      <c r="AF69" s="18"/>
      <c r="AG69" s="16"/>
      <c r="BB69" s="26"/>
    </row>
    <row r="70" spans="1:55" x14ac:dyDescent="0.3">
      <c r="B70" s="4" t="s">
        <v>84</v>
      </c>
      <c r="C70" s="4"/>
      <c r="D70" s="4"/>
      <c r="E70" s="7"/>
      <c r="F70" s="16">
        <f>F67+F68</f>
        <v>60</v>
      </c>
      <c r="G70" s="16">
        <f t="shared" ref="G70:AF70" si="10">G67+G68</f>
        <v>57</v>
      </c>
      <c r="H70" s="16">
        <f t="shared" si="10"/>
        <v>60</v>
      </c>
      <c r="I70" s="16">
        <f t="shared" si="10"/>
        <v>60</v>
      </c>
      <c r="J70" s="16">
        <f t="shared" si="10"/>
        <v>49</v>
      </c>
      <c r="K70" s="16">
        <f t="shared" si="10"/>
        <v>35</v>
      </c>
      <c r="L70" s="16">
        <f t="shared" si="10"/>
        <v>53</v>
      </c>
      <c r="M70" s="16">
        <f t="shared" si="10"/>
        <v>62</v>
      </c>
      <c r="N70" s="16">
        <f t="shared" si="10"/>
        <v>61</v>
      </c>
      <c r="O70" s="16">
        <f t="shared" si="10"/>
        <v>63</v>
      </c>
      <c r="P70" s="16">
        <f t="shared" si="10"/>
        <v>54</v>
      </c>
      <c r="Q70" s="16">
        <f t="shared" si="10"/>
        <v>59</v>
      </c>
      <c r="R70" s="16">
        <f t="shared" si="10"/>
        <v>56</v>
      </c>
      <c r="S70" s="16">
        <f t="shared" si="10"/>
        <v>59</v>
      </c>
      <c r="T70" s="16">
        <f t="shared" si="10"/>
        <v>60</v>
      </c>
      <c r="U70" s="16">
        <f t="shared" si="10"/>
        <v>55</v>
      </c>
      <c r="V70" s="16">
        <f t="shared" si="10"/>
        <v>58</v>
      </c>
      <c r="W70" s="16">
        <f t="shared" si="10"/>
        <v>55</v>
      </c>
      <c r="X70" s="16">
        <f t="shared" si="10"/>
        <v>57</v>
      </c>
      <c r="Y70" s="16">
        <f t="shared" si="10"/>
        <v>58</v>
      </c>
      <c r="Z70" s="16">
        <f t="shared" si="10"/>
        <v>64</v>
      </c>
      <c r="AA70" s="16">
        <f t="shared" si="10"/>
        <v>64</v>
      </c>
      <c r="AB70" s="16">
        <f t="shared" si="10"/>
        <v>64</v>
      </c>
      <c r="AC70" s="16">
        <f t="shared" si="10"/>
        <v>61</v>
      </c>
      <c r="AD70" s="16">
        <f t="shared" si="10"/>
        <v>60</v>
      </c>
      <c r="AE70" s="16">
        <f t="shared" si="10"/>
        <v>49</v>
      </c>
      <c r="AF70" s="16">
        <f t="shared" si="10"/>
        <v>50</v>
      </c>
      <c r="AG70" s="16"/>
      <c r="BB70" s="26"/>
    </row>
    <row r="71" spans="1:55" x14ac:dyDescent="0.3">
      <c r="B71" s="4" t="s">
        <v>85</v>
      </c>
      <c r="C71" s="4"/>
      <c r="D71" s="4"/>
      <c r="E71" s="7"/>
      <c r="F71" s="7">
        <f t="shared" ref="F71:AF71" si="11">COUNTIF(F2:F65,"AB")</f>
        <v>4</v>
      </c>
      <c r="G71" s="7">
        <f t="shared" si="11"/>
        <v>7</v>
      </c>
      <c r="H71" s="7">
        <f t="shared" si="11"/>
        <v>4</v>
      </c>
      <c r="I71" s="7">
        <f t="shared" si="11"/>
        <v>4</v>
      </c>
      <c r="J71" s="7">
        <f t="shared" si="11"/>
        <v>15</v>
      </c>
      <c r="K71" s="7">
        <f t="shared" si="11"/>
        <v>29</v>
      </c>
      <c r="L71" s="7">
        <f t="shared" si="11"/>
        <v>11</v>
      </c>
      <c r="M71" s="7">
        <f t="shared" si="11"/>
        <v>2</v>
      </c>
      <c r="N71" s="7">
        <f t="shared" si="11"/>
        <v>3</v>
      </c>
      <c r="O71" s="7">
        <f t="shared" si="11"/>
        <v>1</v>
      </c>
      <c r="P71" s="7">
        <f t="shared" si="11"/>
        <v>10</v>
      </c>
      <c r="Q71" s="7">
        <f t="shared" si="11"/>
        <v>5</v>
      </c>
      <c r="R71" s="7">
        <f t="shared" si="11"/>
        <v>8</v>
      </c>
      <c r="S71" s="7">
        <f t="shared" si="11"/>
        <v>5</v>
      </c>
      <c r="T71" s="7">
        <f t="shared" si="11"/>
        <v>4</v>
      </c>
      <c r="U71" s="7">
        <f t="shared" si="11"/>
        <v>9</v>
      </c>
      <c r="V71" s="7">
        <f t="shared" si="11"/>
        <v>6</v>
      </c>
      <c r="W71" s="7">
        <f t="shared" si="11"/>
        <v>9</v>
      </c>
      <c r="X71" s="7">
        <f t="shared" si="11"/>
        <v>7</v>
      </c>
      <c r="Y71" s="17">
        <f t="shared" si="11"/>
        <v>6</v>
      </c>
      <c r="Z71" s="17">
        <f t="shared" si="11"/>
        <v>0</v>
      </c>
      <c r="AA71" s="17">
        <f t="shared" si="11"/>
        <v>0</v>
      </c>
      <c r="AB71" s="17">
        <f t="shared" si="11"/>
        <v>0</v>
      </c>
      <c r="AC71" s="17">
        <f t="shared" si="11"/>
        <v>3</v>
      </c>
      <c r="AD71" s="17">
        <f t="shared" si="11"/>
        <v>4</v>
      </c>
      <c r="AE71" s="17">
        <f t="shared" si="11"/>
        <v>15</v>
      </c>
      <c r="AF71" s="17">
        <f t="shared" si="11"/>
        <v>14</v>
      </c>
      <c r="AG71" s="16"/>
      <c r="BB71" s="26"/>
    </row>
  </sheetData>
  <autoFilter ref="A1:BE1" xr:uid="{00000000-0001-0000-0000-000000000000}">
    <sortState xmlns:xlrd2="http://schemas.microsoft.com/office/spreadsheetml/2017/richdata2" ref="A2:BE65">
      <sortCondition ref="A1"/>
    </sortState>
  </autoFilter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Devaprakash Saravanan</cp:lastModifiedBy>
  <dcterms:created xsi:type="dcterms:W3CDTF">2026-02-07T06:34:06Z</dcterms:created>
  <dcterms:modified xsi:type="dcterms:W3CDTF">2026-02-17T13:40:00Z</dcterms:modified>
</cp:coreProperties>
</file>